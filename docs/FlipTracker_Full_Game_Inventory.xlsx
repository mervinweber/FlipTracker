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de9bae5ef45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46745d312e4b40be"/>
    <x:sheet xmlns:r="http://schemas.openxmlformats.org/officeDocument/2006/relationships" name="Dashboard" sheetId="2" r:id="R3899af6a57db428c"/>
    <x:sheet xmlns:r="http://schemas.openxmlformats.org/officeDocument/2006/relationships" name="Lists" sheetId="3" r:id="R70912c8ee4294297"/>
    <x:sheet xmlns:r="http://schemas.openxmlformats.org/officeDocument/2006/relationships" name="Notes" sheetId="4" r:id="R6bff1f6e685047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$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172A"/>
      </x:patternFill>
    </x:fill>
    <x:fill>
      <x:patternFill patternType="solid">
        <x:fgColor rgb="FFE5E7EB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1" fontId="3" fillId="5" borderId="0" xfId="0" applyNumberFormat="1" applyFont="1" applyFill="1" applyBorder="1"/>
    <x:xf numFmtId="201" fontId="3" fillId="5" borderId="1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DCFCE7"/>
        </x:patternFill>
      </x:fill>
    </x:dxf>
    <x:dxf>
      <x:fill>
        <x:patternFill patternType="solid">
          <x:bgColor rgb="FFFEF9C3"/>
        </x:patternFill>
      </x:fill>
    </x:dxf>
    <x:dxf>
      <x:fill>
        <x:patternFill patternType="solid">
          <x:bgColor rgb="FFF3F4F6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975f518b70498d" /><Relationship Type="http://schemas.openxmlformats.org/officeDocument/2006/relationships/theme" Target="/xl/theme/theme1.xml" Id="R47cb56fe89fd429a" /><Relationship Type="http://schemas.openxmlformats.org/officeDocument/2006/relationships/sharedStrings" Target="/xl/sharedStrings.xml" Id="Rad875320f42c45ee" /><Relationship Type="http://schemas.openxmlformats.org/officeDocument/2006/relationships/worksheet" Target="/xl/worksheets/sheet1.xml" Id="R46745d312e4b40be" /><Relationship Type="http://schemas.openxmlformats.org/officeDocument/2006/relationships/worksheet" Target="/xl/worksheets/sheet2.xml" Id="R3899af6a57db428c" /><Relationship Type="http://schemas.openxmlformats.org/officeDocument/2006/relationships/worksheet" Target="/xl/worksheets/sheet3.xml" Id="R70912c8ee4294297" /><Relationship Type="http://schemas.openxmlformats.org/officeDocument/2006/relationships/worksheet" Target="/xl/worksheets/sheet4.xml" Id="R6bff1f6e685047c2" /></Relationships>
</file>

<file path=xl/tables/table1.xml><?xml version="1.0" encoding="utf-8"?>
<x:table xmlns:x="http://schemas.openxmlformats.org/spreadsheetml/2006/main" id="1" name="InventoryTable" displayName="InventoryTable" ref="A1:T123" headerRowCount="1">
  <x:tableColumns count="20">
    <x:tableColumn id="1" name="Type"/>
    <x:tableColumn id="2" name="Console"/>
    <x:tableColumn id="3" name="Title"/>
    <x:tableColumn id="4" name="Edition"/>
    <x:tableColumn id="5" name="eBay Low"/>
    <x:tableColumn id="6" name="eBay High"/>
    <x:tableColumn id="7" name="eBay Avg"/>
    <x:tableColumn id="8" name="Local Low"/>
    <x:tableColumn id="9" name="Local High"/>
    <x:tableColumn id="10" name="Priority"/>
    <x:tableColumn id="11" name="Status"/>
    <x:tableColumn id="12" name="Purchase Price"/>
    <x:tableColumn id="13" name="Sold Price"/>
    <x:tableColumn id="14" name="Fees"/>
    <x:tableColumn id="15" name="Shipping"/>
    <x:tableColumn id="16" name="Profit"/>
    <x:tableColumn id="17" name="Complete?"/>
    <x:tableColumn id="18" name="Manual?"/>
    <x:tableColumn id="19" name="Notes"/>
    <x:tableColumn id="20" name="Conf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97ebba7cc0437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6" hidden="0" customWidth="1"/>
    <x:col min="4" max="4" width="18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6" hidden="0" customWidth="1"/>
    <x:col min="11" max="11" width="12" hidden="0" customWidth="1"/>
    <x:col min="12" max="12" width="13" hidden="0" customWidth="1"/>
    <x:col min="13" max="13" width="11" hidden="0" customWidth="1"/>
    <x:col min="14" max="14" width="8" hidden="0" customWidth="1"/>
    <x:col min="15" max="15" width="9" hidden="0" customWidth="1"/>
    <x:col min="16" max="16" width="10" hidden="0" customWidth="1"/>
    <x:col min="17" max="17" width="10" hidden="0" customWidth="1"/>
    <x:col min="18" max="18" width="10" hidden="0" customWidth="1"/>
    <x:col min="19" max="19" width="38" hidden="0" customWidth="1"/>
    <x:col min="20" max="20" width="12" hidden="0" customWidth="1"/>
  </x:cols>
  <x:sheetData>
    <x:row r="1">
      <x:c r="A1" s="12" t="str">
        <x:v>Type</x:v>
      </x:c>
      <x:c r="B1" s="12" t="str">
        <x:v>Console</x:v>
      </x:c>
      <x:c r="C1" s="12" t="str">
        <x:v>Title</x:v>
      </x:c>
      <x:c r="D1" s="12" t="str">
        <x:v>Edition</x:v>
      </x:c>
      <x:c r="E1" s="12" t="str">
        <x:v>eBay Low</x:v>
      </x:c>
      <x:c r="F1" s="12" t="str">
        <x:v>eBay High</x:v>
      </x:c>
      <x:c r="G1" s="12" t="str">
        <x:v>eBay Avg</x:v>
      </x:c>
      <x:c r="H1" s="12" t="str">
        <x:v>Local Low</x:v>
      </x:c>
      <x:c r="I1" s="12" t="str">
        <x:v>Local High</x:v>
      </x:c>
      <x:c r="J1" s="12" t="str">
        <x:v>Priority</x:v>
      </x:c>
      <x:c r="K1" s="12" t="str">
        <x:v>Status</x:v>
      </x:c>
      <x:c r="L1" s="12" t="str">
        <x:v>Purchase Price</x:v>
      </x:c>
      <x:c r="M1" s="12" t="str">
        <x:v>Sold Price</x:v>
      </x:c>
      <x:c r="N1" s="12" t="str">
        <x:v>Fees</x:v>
      </x:c>
      <x:c r="O1" s="12" t="str">
        <x:v>Shipping</x:v>
      </x:c>
      <x:c r="P1" s="12" t="str">
        <x:v>Profit</x:v>
      </x:c>
      <x:c r="Q1" s="12" t="str">
        <x:v>Complete?</x:v>
      </x:c>
      <x:c r="R1" s="12" t="str">
        <x:v>Manual?</x:v>
      </x:c>
      <x:c r="S1" s="12" t="str">
        <x:v>Notes</x:v>
      </x:c>
      <x:c r="T1" s="12" t="str">
        <x:v>Confidence</x:v>
      </x:c>
    </x:row>
    <x:row r="2">
      <x:c r="A2" s="13" t="str">
        <x:v>Video Game</x:v>
      </x:c>
      <x:c r="B2" s="13" t="str">
        <x:v>PS1</x:v>
      </x:c>
      <x:c r="C2" s="13" t="str">
        <x:v>Grand Theft Auto 2</x:v>
      </x:c>
      <x:c r="D2" s="13" t="str"/>
      <x:c r="E2" s="14" t="n">
        <x:v>20</x:v>
      </x:c>
      <x:c r="F2" s="14" t="n">
        <x:v>40</x:v>
      </x:c>
      <x:c r="G2" s="14" t="n">
        <x:v>30</x:v>
      </x:c>
      <x:c r="H2" s="14" t="n">
        <x:v>13</x:v>
      </x:c>
      <x:c r="I2" s="14" t="n">
        <x:v>30</x:v>
      </x:c>
      <x:c r="J2" s="14" t="str">
        <x:v>Flip First</x:v>
      </x:c>
      <x:c r="K2" s="14" t="str">
        <x:v>Inventory</x:v>
      </x:c>
      <x:c r="L2" s="14" t="str"/>
      <x:c r="M2" s="14" t="str"/>
      <x:c r="N2" s="14" t="str"/>
      <x:c r="O2" s="14" t="str"/>
      <x:c r="P2" s="14" t="str">
        <x:f>IF(M2="","",M2-N2-O2-L2)</x:f>
      </x:c>
      <x:c r="Q2" s="13" t="str"/>
      <x:c r="R2" s="13" t="str"/>
      <x:c r="S2" s="13" t="str"/>
      <x:c r="T2" s="13" t="str">
        <x:v>High</x:v>
      </x:c>
    </x:row>
    <x:row r="3">
      <x:c r="A3" s="13" t="str">
        <x:v>Video Game</x:v>
      </x:c>
      <x:c r="B3" s="13" t="str">
        <x:v>PS1</x:v>
      </x:c>
      <x:c r="C3" s="13" t="str">
        <x:v>Driver</x:v>
      </x:c>
      <x:c r="D3" s="13" t="str"/>
      <x:c r="E3" s="14" t="n">
        <x:v>15</x:v>
      </x:c>
      <x:c r="F3" s="14" t="n">
        <x:v>30</x:v>
      </x:c>
      <x:c r="G3" s="14" t="n">
        <x:v>22.5</x:v>
      </x:c>
      <x:c r="H3" s="14" t="n">
        <x:v>10</x:v>
      </x:c>
      <x:c r="I3" s="14" t="n">
        <x:v>22</x:v>
      </x:c>
      <x:c r="J3" s="14" t="str">
        <x:v>Flip First</x:v>
      </x:c>
      <x:c r="K3" s="14" t="str">
        <x:v>Inventory</x:v>
      </x:c>
      <x:c r="L3" s="14" t="str"/>
      <x:c r="M3" s="14" t="str"/>
      <x:c r="N3" s="14" t="str"/>
      <x:c r="O3" s="14" t="str"/>
      <x:c r="P3" s="14" t="str">
        <x:f>IF(M3="","",M3-N3-O3-L3)</x:f>
      </x:c>
      <x:c r="Q3" s="13" t="str"/>
      <x:c r="R3" s="13" t="str"/>
      <x:c r="S3" s="13" t="str"/>
      <x:c r="T3" s="13" t="str">
        <x:v>High</x:v>
      </x:c>
    </x:row>
    <x:row r="4">
      <x:c r="A4" s="13" t="str">
        <x:v>Video Game</x:v>
      </x:c>
      <x:c r="B4" s="13" t="str">
        <x:v>PS1</x:v>
      </x:c>
      <x:c r="C4" s="13" t="str">
        <x:v>WWF SmackDown! 2: Know Your Role</x:v>
      </x:c>
      <x:c r="D4" s="13" t="str"/>
      <x:c r="E4" s="14" t="n">
        <x:v>15</x:v>
      </x:c>
      <x:c r="F4" s="14" t="n">
        <x:v>30</x:v>
      </x:c>
      <x:c r="G4" s="14" t="n">
        <x:v>22.5</x:v>
      </x:c>
      <x:c r="H4" s="14" t="n">
        <x:v>10</x:v>
      </x:c>
      <x:c r="I4" s="14" t="n">
        <x:v>22</x:v>
      </x:c>
      <x:c r="J4" s="14" t="str">
        <x:v>Flip First</x:v>
      </x:c>
      <x:c r="K4" s="14" t="str">
        <x:v>Inventory</x:v>
      </x:c>
      <x:c r="L4" s="14" t="str"/>
      <x:c r="M4" s="14" t="str"/>
      <x:c r="N4" s="14" t="str"/>
      <x:c r="O4" s="14" t="str"/>
      <x:c r="P4" s="14" t="str">
        <x:f>IF(M4="","",M4-N4-O4-L4)</x:f>
      </x:c>
      <x:c r="Q4" s="13" t="str"/>
      <x:c r="R4" s="13" t="str"/>
      <x:c r="S4" s="13" t="str"/>
      <x:c r="T4" s="13" t="str">
        <x:v>High</x:v>
      </x:c>
    </x:row>
    <x:row r="5">
      <x:c r="A5" s="13" t="str">
        <x:v>Video Game</x:v>
      </x:c>
      <x:c r="B5" s="13" t="str">
        <x:v>PS1</x:v>
      </x:c>
      <x:c r="C5" s="13" t="str">
        <x:v>UFC</x:v>
      </x:c>
      <x:c r="D5" s="13" t="str"/>
      <x:c r="E5" s="14" t="n">
        <x:v>10</x:v>
      </x:c>
      <x:c r="F5" s="14" t="n">
        <x:v>20</x:v>
      </x:c>
      <x:c r="G5" s="14" t="n">
        <x:v>15</x:v>
      </x:c>
      <x:c r="H5" s="14" t="n">
        <x:v>6</x:v>
      </x:c>
      <x:c r="I5" s="14" t="n">
        <x:v>15</x:v>
      </x:c>
      <x:c r="J5" s="14" t="str">
        <x:v>Worth Listing</x:v>
      </x:c>
      <x:c r="K5" s="14" t="str">
        <x:v>Inventory</x:v>
      </x:c>
      <x:c r="L5" s="14" t="str"/>
      <x:c r="M5" s="14" t="str"/>
      <x:c r="N5" s="14" t="str"/>
      <x:c r="O5" s="14" t="str"/>
      <x:c r="P5" s="14" t="str">
        <x:f>IF(M5="","",M5-N5-O5-L5)</x:f>
      </x:c>
      <x:c r="Q5" s="13" t="str"/>
      <x:c r="R5" s="13" t="str"/>
      <x:c r="S5" s="13" t="str"/>
      <x:c r="T5" s="13" t="str">
        <x:v>High</x:v>
      </x:c>
    </x:row>
    <x:row r="6">
      <x:c r="A6" s="13" t="str">
        <x:v>Video Game</x:v>
      </x:c>
      <x:c r="B6" s="13" t="str">
        <x:v>PS1</x:v>
      </x:c>
      <x:c r="C6" s="13" t="str">
        <x:v>Frogger</x:v>
      </x:c>
      <x:c r="D6" s="13" t="str">
        <x:v>Greatest Hits</x:v>
      </x:c>
      <x:c r="E6" s="14" t="n">
        <x:v>8</x:v>
      </x:c>
      <x:c r="F6" s="14" t="n">
        <x:v>15</x:v>
      </x:c>
      <x:c r="G6" s="14" t="n">
        <x:v>11.5</x:v>
      </x:c>
      <x:c r="H6" s="14" t="n">
        <x:v>5</x:v>
      </x:c>
      <x:c r="I6" s="14" t="n">
        <x:v>11</x:v>
      </x:c>
      <x:c r="J6" s="14" t="str">
        <x:v>Worth Listing</x:v>
      </x:c>
      <x:c r="K6" s="14" t="str">
        <x:v>Inventory</x:v>
      </x:c>
      <x:c r="L6" s="14" t="str"/>
      <x:c r="M6" s="14" t="str"/>
      <x:c r="N6" s="14" t="str"/>
      <x:c r="O6" s="14" t="str"/>
      <x:c r="P6" s="14" t="str">
        <x:f>IF(M6="","",M6-N6-O6-L6)</x:f>
      </x:c>
      <x:c r="Q6" s="13" t="str"/>
      <x:c r="R6" s="13" t="str"/>
      <x:c r="S6" s="13" t="str"/>
      <x:c r="T6" s="13" t="str">
        <x:v>High</x:v>
      </x:c>
    </x:row>
    <x:row r="7">
      <x:c r="A7" s="13" t="str">
        <x:v>Video Game</x:v>
      </x:c>
      <x:c r="B7" s="13" t="str">
        <x:v>PS1</x:v>
      </x:c>
      <x:c r="C7" s="13" t="str">
        <x:v>Gran Turismo</x:v>
      </x:c>
      <x:c r="D7" s="13" t="str"/>
      <x:c r="E7" s="14" t="n">
        <x:v>8</x:v>
      </x:c>
      <x:c r="F7" s="14" t="n">
        <x:v>15</x:v>
      </x:c>
      <x:c r="G7" s="14" t="n">
        <x:v>11.5</x:v>
      </x:c>
      <x:c r="H7" s="14" t="n">
        <x:v>5</x:v>
      </x:c>
      <x:c r="I7" s="14" t="n">
        <x:v>11</x:v>
      </x:c>
      <x:c r="J7" s="14" t="str">
        <x:v>Worth Listing</x:v>
      </x:c>
      <x:c r="K7" s="14" t="str">
        <x:v>Inventory</x:v>
      </x:c>
      <x:c r="L7" s="14" t="str"/>
      <x:c r="M7" s="14" t="str"/>
      <x:c r="N7" s="14" t="str"/>
      <x:c r="O7" s="14" t="str"/>
      <x:c r="P7" s="14" t="str">
        <x:f>IF(M7="","",M7-N7-O7-L7)</x:f>
      </x:c>
      <x:c r="Q7" s="13" t="str"/>
      <x:c r="R7" s="13" t="str"/>
      <x:c r="S7" s="13" t="str"/>
      <x:c r="T7" s="13" t="str">
        <x:v>High</x:v>
      </x:c>
    </x:row>
    <x:row r="8">
      <x:c r="A8" s="13" t="str">
        <x:v>Video Game</x:v>
      </x:c>
      <x:c r="B8" s="13" t="str">
        <x:v>PS1</x:v>
      </x:c>
      <x:c r="C8" s="13" t="str">
        <x:v>Big Game Hunter</x:v>
      </x:c>
      <x:c r="D8" s="13" t="str"/>
      <x:c r="E8" s="14" t="n">
        <x:v>5</x:v>
      </x:c>
      <x:c r="F8" s="14" t="n">
        <x:v>10</x:v>
      </x:c>
      <x:c r="G8" s="14" t="n">
        <x:v>7.5</x:v>
      </x:c>
      <x:c r="H8" s="14" t="n">
        <x:v>3</x:v>
      </x:c>
      <x:c r="I8" s="14" t="n">
        <x:v>8</x:v>
      </x:c>
      <x:c r="J8" s="14" t="str">
        <x:v>Bundle/Common</x:v>
      </x:c>
      <x:c r="K8" s="14" t="str">
        <x:v>Inventory</x:v>
      </x:c>
      <x:c r="L8" s="14" t="str"/>
      <x:c r="M8" s="14" t="str"/>
      <x:c r="N8" s="14" t="str"/>
      <x:c r="O8" s="14" t="str"/>
      <x:c r="P8" s="14" t="str">
        <x:f>IF(M8="","",M8-N8-O8-L8)</x:f>
      </x:c>
      <x:c r="Q8" s="13" t="str"/>
      <x:c r="R8" s="13" t="str"/>
      <x:c r="S8" s="13" t="str"/>
      <x:c r="T8" s="13" t="str">
        <x:v>High</x:v>
      </x:c>
    </x:row>
    <x:row r="9">
      <x:c r="A9" s="13" t="str">
        <x:v>Video Game</x:v>
      </x:c>
      <x:c r="B9" s="13" t="str">
        <x:v>PS2</x:v>
      </x:c>
      <x:c r="C9" s="13" t="str">
        <x:v>SRS: Street Racing Syndicate</x:v>
      </x:c>
      <x:c r="D9" s="13" t="str"/>
      <x:c r="E9" s="14" t="n">
        <x:v>15</x:v>
      </x:c>
      <x:c r="F9" s="14" t="n">
        <x:v>30</x:v>
      </x:c>
      <x:c r="G9" s="14" t="n">
        <x:v>22.5</x:v>
      </x:c>
      <x:c r="H9" s="14" t="n">
        <x:v>10</x:v>
      </x:c>
      <x:c r="I9" s="14" t="n">
        <x:v>22</x:v>
      </x:c>
      <x:c r="J9" s="14" t="str">
        <x:v>Flip First</x:v>
      </x:c>
      <x:c r="K9" s="14" t="str">
        <x:v>Inventory</x:v>
      </x:c>
      <x:c r="L9" s="14" t="str"/>
      <x:c r="M9" s="14" t="str"/>
      <x:c r="N9" s="14" t="str"/>
      <x:c r="O9" s="14" t="str"/>
      <x:c r="P9" s="14" t="str">
        <x:f>IF(M9="","",M9-N9-O9-L9)</x:f>
      </x:c>
      <x:c r="Q9" s="13" t="str"/>
      <x:c r="R9" s="13" t="str"/>
      <x:c r="S9" s="13" t="str"/>
      <x:c r="T9" s="13" t="str">
        <x:v>High</x:v>
      </x:c>
    </x:row>
    <x:row r="10">
      <x:c r="A10" s="13" t="str">
        <x:v>Video Game</x:v>
      </x:c>
      <x:c r="B10" s="13" t="str">
        <x:v>PS2</x:v>
      </x:c>
      <x:c r="C10" s="13" t="str">
        <x:v>Kingdom Hearts</x:v>
      </x:c>
      <x:c r="D10" s="13" t="str"/>
      <x:c r="E10" s="14" t="n">
        <x:v>8</x:v>
      </x:c>
      <x:c r="F10" s="14" t="n">
        <x:v>15</x:v>
      </x:c>
      <x:c r="G10" s="14" t="n">
        <x:v>11.5</x:v>
      </x:c>
      <x:c r="H10" s="14" t="n">
        <x:v>5</x:v>
      </x:c>
      <x:c r="I10" s="14" t="n">
        <x:v>11</x:v>
      </x:c>
      <x:c r="J10" s="14" t="str">
        <x:v>Worth Listing</x:v>
      </x:c>
      <x:c r="K10" s="14" t="str">
        <x:v>Inventory</x:v>
      </x:c>
      <x:c r="L10" s="14" t="str"/>
      <x:c r="M10" s="14" t="str"/>
      <x:c r="N10" s="14" t="str"/>
      <x:c r="O10" s="14" t="str"/>
      <x:c r="P10" s="14" t="str">
        <x:f>IF(M10="","",M10-N10-O10-L10)</x:f>
      </x:c>
      <x:c r="Q10" s="13" t="str"/>
      <x:c r="R10" s="13" t="str"/>
      <x:c r="S10" s="13" t="str"/>
      <x:c r="T10" s="13" t="str">
        <x:v>High</x:v>
      </x:c>
    </x:row>
    <x:row r="11">
      <x:c r="A11" s="13" t="str">
        <x:v>Video Game</x:v>
      </x:c>
      <x:c r="B11" s="13" t="str">
        <x:v>PS2</x:v>
      </x:c>
      <x:c r="C11" s="13" t="str">
        <x:v>Final Fantasy XII</x:v>
      </x:c>
      <x:c r="D11" s="13" t="str"/>
      <x:c r="E11" s="14" t="n">
        <x:v>6</x:v>
      </x:c>
      <x:c r="F11" s="14" t="n">
        <x:v>12</x:v>
      </x:c>
      <x:c r="G11" s="14" t="n">
        <x:v>9</x:v>
      </x:c>
      <x:c r="H11" s="14" t="n">
        <x:v>4</x:v>
      </x:c>
      <x:c r="I11" s="14" t="n">
        <x:v>9</x:v>
      </x:c>
      <x:c r="J11" s="14" t="str">
        <x:v>Bundle/Common</x:v>
      </x:c>
      <x:c r="K11" s="14" t="str">
        <x:v>Inventory</x:v>
      </x:c>
      <x:c r="L11" s="14" t="str"/>
      <x:c r="M11" s="14" t="str"/>
      <x:c r="N11" s="14" t="str"/>
      <x:c r="O11" s="14" t="str"/>
      <x:c r="P11" s="14" t="str">
        <x:f>IF(M11="","",M11-N11-O11-L11)</x:f>
      </x:c>
      <x:c r="Q11" s="13" t="str"/>
      <x:c r="R11" s="13" t="str"/>
      <x:c r="S11" s="13" t="str"/>
      <x:c r="T11" s="13" t="str">
        <x:v>High</x:v>
      </x:c>
    </x:row>
    <x:row r="12">
      <x:c r="A12" s="13" t="str">
        <x:v>Video Game</x:v>
      </x:c>
      <x:c r="B12" s="13" t="str">
        <x:v>PS2</x:v>
      </x:c>
      <x:c r="C12" s="13" t="str">
        <x:v>Final Fantasy X</x:v>
      </x:c>
      <x:c r="D12" s="13" t="str"/>
      <x:c r="E12" s="14" t="n">
        <x:v>5</x:v>
      </x:c>
      <x:c r="F12" s="14" t="n">
        <x:v>10</x:v>
      </x:c>
      <x:c r="G12" s="14" t="n">
        <x:v>7.5</x:v>
      </x:c>
      <x:c r="H12" s="14" t="n">
        <x:v>3</x:v>
      </x:c>
      <x:c r="I12" s="14" t="n">
        <x:v>8</x:v>
      </x:c>
      <x:c r="J12" s="14" t="str">
        <x:v>Bundle/Common</x:v>
      </x:c>
      <x:c r="K12" s="14" t="str">
        <x:v>Inventory</x:v>
      </x:c>
      <x:c r="L12" s="14" t="str"/>
      <x:c r="M12" s="14" t="str"/>
      <x:c r="N12" s="14" t="str"/>
      <x:c r="O12" s="14" t="str"/>
      <x:c r="P12" s="14" t="str">
        <x:f>IF(M12="","",M12-N12-O12-L12)</x:f>
      </x:c>
      <x:c r="Q12" s="13" t="str"/>
      <x:c r="R12" s="13" t="str"/>
      <x:c r="S12" s="13" t="str"/>
      <x:c r="T12" s="13" t="str">
        <x:v>High</x:v>
      </x:c>
    </x:row>
    <x:row r="13">
      <x:c r="A13" s="13" t="str">
        <x:v>Video Game</x:v>
      </x:c>
      <x:c r="B13" s="13" t="str">
        <x:v>PS2</x:v>
      </x:c>
      <x:c r="C13" s="13" t="str">
        <x:v>Gran Turismo 3 A-Spec</x:v>
      </x:c>
      <x:c r="D13" s="13" t="str"/>
      <x:c r="E13" s="14" t="n">
        <x:v>3</x:v>
      </x:c>
      <x:c r="F13" s="14" t="n">
        <x:v>8</x:v>
      </x:c>
      <x:c r="G13" s="14" t="n">
        <x:v>5.5</x:v>
      </x:c>
      <x:c r="H13" s="14" t="n">
        <x:v>2</x:v>
      </x:c>
      <x:c r="I13" s="14" t="n">
        <x:v>6</x:v>
      </x:c>
      <x:c r="J13" s="14" t="str">
        <x:v>Bundle/Common</x:v>
      </x:c>
      <x:c r="K13" s="14" t="str">
        <x:v>Inventory</x:v>
      </x:c>
      <x:c r="L13" s="14" t="str"/>
      <x:c r="M13" s="14" t="str"/>
      <x:c r="N13" s="14" t="str"/>
      <x:c r="O13" s="14" t="str"/>
      <x:c r="P13" s="14" t="str">
        <x:f>IF(M13="","",M13-N13-O13-L13)</x:f>
      </x:c>
      <x:c r="Q13" s="13" t="str"/>
      <x:c r="R13" s="13" t="str"/>
      <x:c r="S13" s="13" t="str"/>
      <x:c r="T13" s="13" t="str">
        <x:v>High</x:v>
      </x:c>
    </x:row>
    <x:row r="14">
      <x:c r="A14" s="13" t="str">
        <x:v>Video Game</x:v>
      </x:c>
      <x:c r="B14" s="13" t="str">
        <x:v>Wii</x:v>
      </x:c>
      <x:c r="C14" s="13" t="str">
        <x:v>The Sims 3</x:v>
      </x:c>
      <x:c r="D14" s="13" t="str"/>
      <x:c r="E14" s="14" t="n">
        <x:v>8</x:v>
      </x:c>
      <x:c r="F14" s="14" t="n">
        <x:v>15</x:v>
      </x:c>
      <x:c r="G14" s="14" t="n">
        <x:v>11.5</x:v>
      </x:c>
      <x:c r="H14" s="14" t="n">
        <x:v>5</x:v>
      </x:c>
      <x:c r="I14" s="14" t="n">
        <x:v>11</x:v>
      </x:c>
      <x:c r="J14" s="14" t="str">
        <x:v>Worth Listing</x:v>
      </x:c>
      <x:c r="K14" s="14" t="str">
        <x:v>Inventory</x:v>
      </x:c>
      <x:c r="L14" s="14" t="str"/>
      <x:c r="M14" s="14" t="str"/>
      <x:c r="N14" s="14" t="str"/>
      <x:c r="O14" s="14" t="str"/>
      <x:c r="P14" s="14" t="str">
        <x:f>IF(M14="","",M14-N14-O14-L14)</x:f>
      </x:c>
      <x:c r="Q14" s="13" t="str"/>
      <x:c r="R14" s="13" t="str"/>
      <x:c r="S14" s="13" t="str">
        <x:v>User specifically confirmed title</x:v>
      </x:c>
      <x:c r="T14" s="13" t="str">
        <x:v>High</x:v>
      </x:c>
    </x:row>
    <x:row r="15">
      <x:c r="A15" s="13" t="str">
        <x:v>Video Game</x:v>
      </x:c>
      <x:c r="B15" s="13" t="str">
        <x:v>Wii</x:v>
      </x:c>
      <x:c r="C15" s="13" t="str">
        <x:v>The Sims / MySims title</x:v>
      </x:c>
      <x:c r="D15" s="13" t="str"/>
      <x:c r="E15" s="14" t="n">
        <x:v>5</x:v>
      </x:c>
      <x:c r="F15" s="14" t="n">
        <x:v>15</x:v>
      </x:c>
      <x:c r="G15" s="14" t="n">
        <x:v>10</x:v>
      </x:c>
      <x:c r="H15" s="14" t="n">
        <x:v>3</x:v>
      </x:c>
      <x:c r="I15" s="14" t="n">
        <x:v>11</x:v>
      </x:c>
      <x:c r="J15" s="14" t="str">
        <x:v>Worth Listing</x:v>
      </x:c>
      <x:c r="K15" s="14" t="str">
        <x:v>Inventory</x:v>
      </x:c>
      <x:c r="L15" s="14" t="str"/>
      <x:c r="M15" s="14" t="str"/>
      <x:c r="N15" s="14" t="str"/>
      <x:c r="O15" s="14" t="str"/>
      <x:c r="P15" s="14" t="str">
        <x:f>IF(M15="","",M15-N15-O15-L15)</x:f>
      </x:c>
      <x:c r="Q15" s="13" t="str"/>
      <x:c r="R15" s="13" t="str"/>
      <x:c r="S15" s="13" t="str">
        <x:v>Needs exact title confirmation from case</x:v>
      </x:c>
      <x:c r="T15" s="13" t="str">
        <x:v>Medium</x:v>
      </x:c>
    </x:row>
    <x:row r="16">
      <x:c r="A16" s="13" t="str">
        <x:v>Video Game</x:v>
      </x:c>
      <x:c r="B16" s="13" t="str">
        <x:v>Wii</x:v>
      </x:c>
      <x:c r="C16" s="13" t="str">
        <x:v>The Sims 2: Castaway</x:v>
      </x:c>
      <x:c r="D16" s="13" t="str"/>
      <x:c r="E16" s="14" t="n">
        <x:v>10</x:v>
      </x:c>
      <x:c r="F16" s="14" t="n">
        <x:v>20</x:v>
      </x:c>
      <x:c r="G16" s="14" t="n">
        <x:v>15</x:v>
      </x:c>
      <x:c r="H16" s="14" t="n">
        <x:v>6</x:v>
      </x:c>
      <x:c r="I16" s="14" t="n">
        <x:v>15</x:v>
      </x:c>
      <x:c r="J16" s="14" t="str">
        <x:v>Worth Listing</x:v>
      </x:c>
      <x:c r="K16" s="14" t="str">
        <x:v>Inventory</x:v>
      </x:c>
      <x:c r="L16" s="14" t="str"/>
      <x:c r="M16" s="14" t="str"/>
      <x:c r="N16" s="14" t="str"/>
      <x:c r="O16" s="14" t="str"/>
      <x:c r="P16" s="14" t="str">
        <x:f>IF(M16="","",M16-N16-O16-L16)</x:f>
      </x:c>
      <x:c r="Q16" s="13" t="str"/>
      <x:c r="R16" s="13" t="str"/>
      <x:c r="S16" s="13" t="str">
        <x:v>Only include if this is the actual title seen</x:v>
      </x:c>
      <x:c r="T16" s="13" t="str">
        <x:v>Low</x:v>
      </x:c>
    </x:row>
    <x:row r="17">
      <x:c r="A17" s="13" t="str">
        <x:v>Video Game</x:v>
      </x:c>
      <x:c r="B17" s="13" t="str">
        <x:v>Xbox 360</x:v>
      </x:c>
      <x:c r="C17" s="13" t="str">
        <x:v>Sonic Unleashed</x:v>
      </x:c>
      <x:c r="D17" s="13" t="str"/>
      <x:c r="E17" s="14" t="n">
        <x:v>15</x:v>
      </x:c>
      <x:c r="F17" s="14" t="n">
        <x:v>25</x:v>
      </x:c>
      <x:c r="G17" s="14" t="n">
        <x:v>20</x:v>
      </x:c>
      <x:c r="H17" s="14" t="n">
        <x:v>10</x:v>
      </x:c>
      <x:c r="I17" s="14" t="n">
        <x:v>19</x:v>
      </x:c>
      <x:c r="J17" s="14" t="str">
        <x:v>Flip First</x:v>
      </x:c>
      <x:c r="K17" s="14" t="str">
        <x:v>Inventory</x:v>
      </x:c>
      <x:c r="L17" s="14" t="str"/>
      <x:c r="M17" s="14" t="str"/>
      <x:c r="N17" s="14" t="str"/>
      <x:c r="O17" s="14" t="str"/>
      <x:c r="P17" s="14" t="str">
        <x:f>IF(M17="","",M17-N17-O17-L17)</x:f>
      </x:c>
      <x:c r="Q17" s="13" t="str"/>
      <x:c r="R17" s="13" t="str"/>
      <x:c r="S17" s="13" t="str"/>
      <x:c r="T17" s="13" t="str">
        <x:v>High</x:v>
      </x:c>
    </x:row>
    <x:row r="18">
      <x:c r="A18" s="13" t="str">
        <x:v>Video Game</x:v>
      </x:c>
      <x:c r="B18" s="13" t="str">
        <x:v>Xbox 360</x:v>
      </x:c>
      <x:c r="C18" s="13" t="str">
        <x:v>Left 4 Dead</x:v>
      </x:c>
      <x:c r="D18" s="13" t="str"/>
      <x:c r="E18" s="14" t="n">
        <x:v>10</x:v>
      </x:c>
      <x:c r="F18" s="14" t="n">
        <x:v>18</x:v>
      </x:c>
      <x:c r="G18" s="14" t="n">
        <x:v>14</x:v>
      </x:c>
      <x:c r="H18" s="14" t="n">
        <x:v>6</x:v>
      </x:c>
      <x:c r="I18" s="14" t="n">
        <x:v>14</x:v>
      </x:c>
      <x:c r="J18" s="14" t="str">
        <x:v>Worth Listing</x:v>
      </x:c>
      <x:c r="K18" s="14" t="str">
        <x:v>Inventory</x:v>
      </x:c>
      <x:c r="L18" s="14" t="str"/>
      <x:c r="M18" s="14" t="str"/>
      <x:c r="N18" s="14" t="str"/>
      <x:c r="O18" s="14" t="str"/>
      <x:c r="P18" s="14" t="str">
        <x:f>IF(M18="","",M18-N18-O18-L18)</x:f>
      </x:c>
      <x:c r="Q18" s="13" t="str"/>
      <x:c r="R18" s="13" t="str"/>
      <x:c r="S18" s="13" t="str"/>
      <x:c r="T18" s="13" t="str">
        <x:v>High</x:v>
      </x:c>
    </x:row>
    <x:row r="19">
      <x:c r="A19" s="13" t="str">
        <x:v>Video Game</x:v>
      </x:c>
      <x:c r="B19" s="13" t="str">
        <x:v>Xbox 360</x:v>
      </x:c>
      <x:c r="C19" s="13" t="str">
        <x:v>Assassin's Creed Rogue</x:v>
      </x:c>
      <x:c r="D19" s="13" t="str"/>
      <x:c r="E19" s="14" t="n">
        <x:v>8</x:v>
      </x:c>
      <x:c r="F19" s="14" t="n">
        <x:v>12</x:v>
      </x:c>
      <x:c r="G19" s="14" t="n">
        <x:v>10</x:v>
      </x:c>
      <x:c r="H19" s="14" t="n">
        <x:v>5</x:v>
      </x:c>
      <x:c r="I19" s="14" t="n">
        <x:v>9</x:v>
      </x:c>
      <x:c r="J19" s="14" t="str">
        <x:v>Bundle/Common</x:v>
      </x:c>
      <x:c r="K19" s="14" t="str">
        <x:v>Inventory</x:v>
      </x:c>
      <x:c r="L19" s="14" t="str"/>
      <x:c r="M19" s="14" t="str"/>
      <x:c r="N19" s="14" t="str"/>
      <x:c r="O19" s="14" t="str"/>
      <x:c r="P19" s="14" t="str">
        <x:f>IF(M19="","",M19-N19-O19-L19)</x:f>
      </x:c>
      <x:c r="Q19" s="13" t="str"/>
      <x:c r="R19" s="13" t="str"/>
      <x:c r="S19" s="13" t="str"/>
      <x:c r="T19" s="13" t="str">
        <x:v>High</x:v>
      </x:c>
    </x:row>
    <x:row r="20">
      <x:c r="A20" s="13" t="str">
        <x:v>Video Game</x:v>
      </x:c>
      <x:c r="B20" s="13" t="str">
        <x:v>Xbox 360</x:v>
      </x:c>
      <x:c r="C20" s="13" t="str">
        <x:v>Tony Hawk's Project 8</x:v>
      </x:c>
      <x:c r="D20" s="13" t="str"/>
      <x:c r="E20" s="14" t="n">
        <x:v>8</x:v>
      </x:c>
      <x:c r="F20" s="14" t="n">
        <x:v>15</x:v>
      </x:c>
      <x:c r="G20" s="14" t="n">
        <x:v>11.5</x:v>
      </x:c>
      <x:c r="H20" s="14" t="n">
        <x:v>5</x:v>
      </x:c>
      <x:c r="I20" s="14" t="n">
        <x:v>11</x:v>
      </x:c>
      <x:c r="J20" s="14" t="str">
        <x:v>Worth Listing</x:v>
      </x:c>
      <x:c r="K20" s="14" t="str">
        <x:v>Inventory</x:v>
      </x:c>
      <x:c r="L20" s="14" t="str"/>
      <x:c r="M20" s="14" t="str"/>
      <x:c r="N20" s="14" t="str"/>
      <x:c r="O20" s="14" t="str"/>
      <x:c r="P20" s="14" t="str">
        <x:f>IF(M20="","",M20-N20-O20-L20)</x:f>
      </x:c>
      <x:c r="Q20" s="13" t="str"/>
      <x:c r="R20" s="13" t="str"/>
      <x:c r="S20" s="13" t="str"/>
      <x:c r="T20" s="13" t="str">
        <x:v>High</x:v>
      </x:c>
    </x:row>
    <x:row r="21">
      <x:c r="A21" s="13" t="str">
        <x:v>Video Game</x:v>
      </x:c>
      <x:c r="B21" s="13" t="str">
        <x:v>Xbox 360</x:v>
      </x:c>
      <x:c r="C21" s="13" t="str">
        <x:v>LEGO Indiana Jones</x:v>
      </x:c>
      <x:c r="D21" s="13" t="str"/>
      <x:c r="E21" s="14" t="n">
        <x:v>3</x:v>
      </x:c>
      <x:c r="F21" s="14" t="n">
        <x:v>8</x:v>
      </x:c>
      <x:c r="G21" s="14" t="n">
        <x:v>5.5</x:v>
      </x:c>
      <x:c r="H21" s="14" t="n">
        <x:v>2</x:v>
      </x:c>
      <x:c r="I21" s="14" t="n">
        <x:v>6</x:v>
      </x:c>
      <x:c r="J21" s="14" t="str">
        <x:v>Bundle/Common</x:v>
      </x:c>
      <x:c r="K21" s="14" t="str">
        <x:v>Inventory</x:v>
      </x:c>
      <x:c r="L21" s="14" t="str"/>
      <x:c r="M21" s="14" t="str"/>
      <x:c r="N21" s="14" t="str"/>
      <x:c r="O21" s="14" t="str"/>
      <x:c r="P21" s="14" t="str">
        <x:f>IF(M21="","",M21-N21-O21-L21)</x:f>
      </x:c>
      <x:c r="Q21" s="13" t="str"/>
      <x:c r="R21" s="13" t="str"/>
      <x:c r="S21" s="13" t="str"/>
      <x:c r="T21" s="13" t="str">
        <x:v>High</x:v>
      </x:c>
    </x:row>
    <x:row r="22">
      <x:c r="A22" s="13" t="str">
        <x:v>Video Game</x:v>
      </x:c>
      <x:c r="B22" s="13" t="str">
        <x:v>Xbox 360</x:v>
      </x:c>
      <x:c r="C22" s="13" t="str">
        <x:v>Halo 3</x:v>
      </x:c>
      <x:c r="D22" s="13" t="str"/>
      <x:c r="E22" s="14" t="n">
        <x:v>4</x:v>
      </x:c>
      <x:c r="F22" s="14" t="n">
        <x:v>8</x:v>
      </x:c>
      <x:c r="G22" s="14" t="n">
        <x:v>6</x:v>
      </x:c>
      <x:c r="H22" s="14" t="n">
        <x:v>3</x:v>
      </x:c>
      <x:c r="I22" s="14" t="n">
        <x:v>6</x:v>
      </x:c>
      <x:c r="J22" s="14" t="str">
        <x:v>Bundle/Common</x:v>
      </x:c>
      <x:c r="K22" s="14" t="str">
        <x:v>Inventory</x:v>
      </x:c>
      <x:c r="L22" s="14" t="str"/>
      <x:c r="M22" s="14" t="str"/>
      <x:c r="N22" s="14" t="str"/>
      <x:c r="O22" s="14" t="str"/>
      <x:c r="P22" s="14" t="str">
        <x:f>IF(M22="","",M22-N22-O22-L22)</x:f>
      </x:c>
      <x:c r="Q22" s="13" t="str"/>
      <x:c r="R22" s="13" t="str"/>
      <x:c r="S22" s="13" t="str"/>
      <x:c r="T22" s="13" t="str">
        <x:v>High</x:v>
      </x:c>
    </x:row>
    <x:row r="23">
      <x:c r="A23" s="13" t="str">
        <x:v>Video Game</x:v>
      </x:c>
      <x:c r="B23" s="13" t="str">
        <x:v>Xbox 360</x:v>
      </x:c>
      <x:c r="C23" s="13" t="str">
        <x:v>Halo Reach</x:v>
      </x:c>
      <x:c r="D23" s="13" t="str"/>
      <x:c r="E23" s="14" t="n">
        <x:v>4</x:v>
      </x:c>
      <x:c r="F23" s="14" t="n">
        <x:v>8</x:v>
      </x:c>
      <x:c r="G23" s="14" t="n">
        <x:v>6</x:v>
      </x:c>
      <x:c r="H23" s="14" t="n">
        <x:v>3</x:v>
      </x:c>
      <x:c r="I23" s="14" t="n">
        <x:v>6</x:v>
      </x:c>
      <x:c r="J23" s="14" t="str">
        <x:v>Bundle/Common</x:v>
      </x:c>
      <x:c r="K23" s="14" t="str">
        <x:v>Inventory</x:v>
      </x:c>
      <x:c r="L23" s="14" t="str"/>
      <x:c r="M23" s="14" t="str"/>
      <x:c r="N23" s="14" t="str"/>
      <x:c r="O23" s="14" t="str"/>
      <x:c r="P23" s="14" t="str">
        <x:f>IF(M23="","",M23-N23-O23-L23)</x:f>
      </x:c>
      <x:c r="Q23" s="13" t="str"/>
      <x:c r="R23" s="13" t="str"/>
      <x:c r="S23" s="13" t="str"/>
      <x:c r="T23" s="13" t="str">
        <x:v>High</x:v>
      </x:c>
    </x:row>
    <x:row r="24">
      <x:c r="A24" s="13" t="str">
        <x:v>Video Game</x:v>
      </x:c>
      <x:c r="B24" s="13" t="str">
        <x:v>Xbox 360</x:v>
      </x:c>
      <x:c r="C24" s="13" t="str">
        <x:v>Halo 4</x:v>
      </x:c>
      <x:c r="D24" s="13" t="str"/>
      <x:c r="E24" s="14" t="n">
        <x:v>3</x:v>
      </x:c>
      <x:c r="F24" s="14" t="n">
        <x:v>6</x:v>
      </x:c>
      <x:c r="G24" s="14" t="n">
        <x:v>4.5</x:v>
      </x:c>
      <x:c r="H24" s="14" t="n">
        <x:v>2</x:v>
      </x:c>
      <x:c r="I24" s="14" t="n">
        <x:v>4</x:v>
      </x:c>
      <x:c r="J24" s="14" t="str">
        <x:v>Bundle/Common</x:v>
      </x:c>
      <x:c r="K24" s="14" t="str">
        <x:v>Inventory</x:v>
      </x:c>
      <x:c r="L24" s="14" t="str"/>
      <x:c r="M24" s="14" t="str"/>
      <x:c r="N24" s="14" t="str"/>
      <x:c r="O24" s="14" t="str"/>
      <x:c r="P24" s="14" t="str">
        <x:f>IF(M24="","",M24-N24-O24-L24)</x:f>
      </x:c>
      <x:c r="Q24" s="13" t="str"/>
      <x:c r="R24" s="13" t="str"/>
      <x:c r="S24" s="13" t="str"/>
      <x:c r="T24" s="13" t="str">
        <x:v>High</x:v>
      </x:c>
    </x:row>
    <x:row r="25">
      <x:c r="A25" s="13" t="str">
        <x:v>Video Game</x:v>
      </x:c>
      <x:c r="B25" s="13" t="str">
        <x:v>Xbox 360</x:v>
      </x:c>
      <x:c r="C25" s="13" t="str">
        <x:v>Fable III</x:v>
      </x:c>
      <x:c r="D25" s="13" t="str"/>
      <x:c r="E25" s="14" t="n">
        <x:v>4</x:v>
      </x:c>
      <x:c r="F25" s="14" t="n">
        <x:v>8</x:v>
      </x:c>
      <x:c r="G25" s="14" t="n">
        <x:v>6</x:v>
      </x:c>
      <x:c r="H25" s="14" t="n">
        <x:v>3</x:v>
      </x:c>
      <x:c r="I25" s="14" t="n">
        <x:v>6</x:v>
      </x:c>
      <x:c r="J25" s="14" t="str">
        <x:v>Bundle/Common</x:v>
      </x:c>
      <x:c r="K25" s="14" t="str">
        <x:v>Inventory</x:v>
      </x:c>
      <x:c r="L25" s="14" t="str"/>
      <x:c r="M25" s="14" t="str"/>
      <x:c r="N25" s="14" t="str"/>
      <x:c r="O25" s="14" t="str"/>
      <x:c r="P25" s="14" t="str">
        <x:f>IF(M25="","",M25-N25-O25-L25)</x:f>
      </x:c>
      <x:c r="Q25" s="13" t="str"/>
      <x:c r="R25" s="13" t="str"/>
      <x:c r="S25" s="13" t="str"/>
      <x:c r="T25" s="13" t="str">
        <x:v>High</x:v>
      </x:c>
    </x:row>
    <x:row r="26">
      <x:c r="A26" s="13" t="str">
        <x:v>Video Game</x:v>
      </x:c>
      <x:c r="B26" s="13" t="str">
        <x:v>Xbox 360</x:v>
      </x:c>
      <x:c r="C26" s="13" t="str">
        <x:v>The Elder Scrolls IV: Oblivion</x:v>
      </x:c>
      <x:c r="D26" s="13" t="str"/>
      <x:c r="E26" s="14" t="n">
        <x:v>5</x:v>
      </x:c>
      <x:c r="F26" s="14" t="n">
        <x:v>10</x:v>
      </x:c>
      <x:c r="G26" s="14" t="n">
        <x:v>7.5</x:v>
      </x:c>
      <x:c r="H26" s="14" t="n">
        <x:v>3</x:v>
      </x:c>
      <x:c r="I26" s="14" t="n">
        <x:v>8</x:v>
      </x:c>
      <x:c r="J26" s="14" t="str">
        <x:v>Bundle/Common</x:v>
      </x:c>
      <x:c r="K26" s="14" t="str">
        <x:v>Inventory</x:v>
      </x:c>
      <x:c r="L26" s="14" t="str"/>
      <x:c r="M26" s="14" t="str"/>
      <x:c r="N26" s="14" t="str"/>
      <x:c r="O26" s="14" t="str"/>
      <x:c r="P26" s="14" t="str">
        <x:f>IF(M26="","",M26-N26-O26-L26)</x:f>
      </x:c>
      <x:c r="Q26" s="13" t="str"/>
      <x:c r="R26" s="13" t="str"/>
      <x:c r="S26" s="13" t="str"/>
      <x:c r="T26" s="13" t="str">
        <x:v>High</x:v>
      </x:c>
    </x:row>
    <x:row r="27">
      <x:c r="A27" s="13" t="str">
        <x:v>Video Game</x:v>
      </x:c>
      <x:c r="B27" s="13" t="str">
        <x:v>Xbox 360</x:v>
      </x:c>
      <x:c r="C27" s="13" t="str">
        <x:v>Sonic's Ultimate Genesis Collection</x:v>
      </x:c>
      <x:c r="D27" s="13" t="str"/>
      <x:c r="E27" s="14" t="n">
        <x:v>5</x:v>
      </x:c>
      <x:c r="F27" s="14" t="n">
        <x:v>10</x:v>
      </x:c>
      <x:c r="G27" s="14" t="n">
        <x:v>7.5</x:v>
      </x:c>
      <x:c r="H27" s="14" t="n">
        <x:v>3</x:v>
      </x:c>
      <x:c r="I27" s="14" t="n">
        <x:v>8</x:v>
      </x:c>
      <x:c r="J27" s="14" t="str">
        <x:v>Bundle/Common</x:v>
      </x:c>
      <x:c r="K27" s="14" t="str">
        <x:v>Inventory</x:v>
      </x:c>
      <x:c r="L27" s="14" t="str"/>
      <x:c r="M27" s="14" t="str"/>
      <x:c r="N27" s="14" t="str"/>
      <x:c r="O27" s="14" t="str"/>
      <x:c r="P27" s="14" t="str">
        <x:f>IF(M27="","",M27-N27-O27-L27)</x:f>
      </x:c>
      <x:c r="Q27" s="13" t="str"/>
      <x:c r="R27" s="13" t="str"/>
      <x:c r="S27" s="13" t="str"/>
      <x:c r="T27" s="13" t="str">
        <x:v>High</x:v>
      </x:c>
    </x:row>
    <x:row r="28">
      <x:c r="A28" s="13" t="str">
        <x:v>Video Game</x:v>
      </x:c>
      <x:c r="B28" s="13" t="str">
        <x:v>Xbox 360</x:v>
      </x:c>
      <x:c r="C28" s="13" t="str">
        <x:v>Rayman Raving Rabbids</x:v>
      </x:c>
      <x:c r="D28" s="13" t="str"/>
      <x:c r="E28" s="14" t="n">
        <x:v>5</x:v>
      </x:c>
      <x:c r="F28" s="14" t="n">
        <x:v>10</x:v>
      </x:c>
      <x:c r="G28" s="14" t="n">
        <x:v>7.5</x:v>
      </x:c>
      <x:c r="H28" s="14" t="n">
        <x:v>3</x:v>
      </x:c>
      <x:c r="I28" s="14" t="n">
        <x:v>8</x:v>
      </x:c>
      <x:c r="J28" s="14" t="str">
        <x:v>Bundle/Common</x:v>
      </x:c>
      <x:c r="K28" s="14" t="str">
        <x:v>Inventory</x:v>
      </x:c>
      <x:c r="L28" s="14" t="str"/>
      <x:c r="M28" s="14" t="str"/>
      <x:c r="N28" s="14" t="str"/>
      <x:c r="O28" s="14" t="str"/>
      <x:c r="P28" s="14" t="str">
        <x:f>IF(M28="","",M28-N28-O28-L28)</x:f>
      </x:c>
      <x:c r="Q28" s="13" t="str"/>
      <x:c r="R28" s="13" t="str"/>
      <x:c r="S28" s="13" t="str"/>
      <x:c r="T28" s="13" t="str">
        <x:v>High</x:v>
      </x:c>
    </x:row>
    <x:row r="29">
      <x:c r="A29" s="13" t="str">
        <x:v>Video Game</x:v>
      </x:c>
      <x:c r="B29" s="13" t="str">
        <x:v>Xbox 360</x:v>
      </x:c>
      <x:c r="C29" s="13" t="str">
        <x:v>Final Fantasy XIII</x:v>
      </x:c>
      <x:c r="D29" s="13" t="str"/>
      <x:c r="E29" s="14" t="n">
        <x:v>5</x:v>
      </x:c>
      <x:c r="F29" s="14" t="n">
        <x:v>10</x:v>
      </x:c>
      <x:c r="G29" s="14" t="n">
        <x:v>7.5</x:v>
      </x:c>
      <x:c r="H29" s="14" t="n">
        <x:v>3</x:v>
      </x:c>
      <x:c r="I29" s="14" t="n">
        <x:v>8</x:v>
      </x:c>
      <x:c r="J29" s="14" t="str">
        <x:v>Bundle/Common</x:v>
      </x:c>
      <x:c r="K29" s="14" t="str">
        <x:v>Inventory</x:v>
      </x:c>
      <x:c r="L29" s="14" t="str"/>
      <x:c r="M29" s="14" t="str"/>
      <x:c r="N29" s="14" t="str"/>
      <x:c r="O29" s="14" t="str"/>
      <x:c r="P29" s="14" t="str">
        <x:f>IF(M29="","",M29-N29-O29-L29)</x:f>
      </x:c>
      <x:c r="Q29" s="13" t="str"/>
      <x:c r="R29" s="13" t="str"/>
      <x:c r="S29" s="13" t="str"/>
      <x:c r="T29" s="13" t="str">
        <x:v>High</x:v>
      </x:c>
    </x:row>
    <x:row r="30">
      <x:c r="A30" s="13" t="str">
        <x:v>Video Game</x:v>
      </x:c>
      <x:c r="B30" s="13" t="str">
        <x:v>PS3</x:v>
      </x:c>
      <x:c r="C30" s="13" t="str">
        <x:v>Ni no Kuni: Wrath of the White Witch</x:v>
      </x:c>
      <x:c r="D30" s="13" t="str"/>
      <x:c r="E30" s="14" t="n">
        <x:v>20</x:v>
      </x:c>
      <x:c r="F30" s="14" t="n">
        <x:v>35</x:v>
      </x:c>
      <x:c r="G30" s="14" t="n">
        <x:v>27.5</x:v>
      </x:c>
      <x:c r="H30" s="14" t="n">
        <x:v>13</x:v>
      </x:c>
      <x:c r="I30" s="14" t="n">
        <x:v>26</x:v>
      </x:c>
      <x:c r="J30" s="14" t="str">
        <x:v>Flip First</x:v>
      </x:c>
      <x:c r="K30" s="14" t="str">
        <x:v>Inventory</x:v>
      </x:c>
      <x:c r="L30" s="14" t="str"/>
      <x:c r="M30" s="14" t="str"/>
      <x:c r="N30" s="14" t="str"/>
      <x:c r="O30" s="14" t="str"/>
      <x:c r="P30" s="14" t="str">
        <x:f>IF(M30="","",M30-N30-O30-L30)</x:f>
      </x:c>
      <x:c r="Q30" s="13" t="str"/>
      <x:c r="R30" s="13" t="str"/>
      <x:c r="S30" s="13" t="str"/>
      <x:c r="T30" s="13" t="str">
        <x:v>High</x:v>
      </x:c>
    </x:row>
    <x:row r="31">
      <x:c r="A31" s="13" t="str">
        <x:v>Video Game</x:v>
      </x:c>
      <x:c r="B31" s="13" t="str">
        <x:v>PS3</x:v>
      </x:c>
      <x:c r="C31" s="13" t="str">
        <x:v>Skate 3</x:v>
      </x:c>
      <x:c r="D31" s="13" t="str"/>
      <x:c r="E31" s="14" t="n">
        <x:v>15</x:v>
      </x:c>
      <x:c r="F31" s="14" t="n">
        <x:v>30</x:v>
      </x:c>
      <x:c r="G31" s="14" t="n">
        <x:v>22.5</x:v>
      </x:c>
      <x:c r="H31" s="14" t="n">
        <x:v>10</x:v>
      </x:c>
      <x:c r="I31" s="14" t="n">
        <x:v>22</x:v>
      </x:c>
      <x:c r="J31" s="14" t="str">
        <x:v>Flip First</x:v>
      </x:c>
      <x:c r="K31" s="14" t="str">
        <x:v>Inventory</x:v>
      </x:c>
      <x:c r="L31" s="14" t="str"/>
      <x:c r="M31" s="14" t="str"/>
      <x:c r="N31" s="14" t="str"/>
      <x:c r="O31" s="14" t="str"/>
      <x:c r="P31" s="14" t="str">
        <x:f>IF(M31="","",M31-N31-O31-L31)</x:f>
      </x:c>
      <x:c r="Q31" s="13" t="str"/>
      <x:c r="R31" s="13" t="str"/>
      <x:c r="S31" s="13" t="str"/>
      <x:c r="T31" s="13" t="str">
        <x:v>High</x:v>
      </x:c>
    </x:row>
    <x:row r="32">
      <x:c r="A32" s="13" t="str">
        <x:v>Video Game</x:v>
      </x:c>
      <x:c r="B32" s="13" t="str">
        <x:v>PS3</x:v>
      </x:c>
      <x:c r="C32" s="13" t="str">
        <x:v>Sly Cooper: Thieves in Time</x:v>
      </x:c>
      <x:c r="D32" s="13" t="str"/>
      <x:c r="E32" s="14" t="n">
        <x:v>18</x:v>
      </x:c>
      <x:c r="F32" s="14" t="n">
        <x:v>30</x:v>
      </x:c>
      <x:c r="G32" s="14" t="n">
        <x:v>24</x:v>
      </x:c>
      <x:c r="H32" s="14" t="n">
        <x:v>12</x:v>
      </x:c>
      <x:c r="I32" s="14" t="n">
        <x:v>22</x:v>
      </x:c>
      <x:c r="J32" s="14" t="str">
        <x:v>Flip First</x:v>
      </x:c>
      <x:c r="K32" s="14" t="str">
        <x:v>Inventory</x:v>
      </x:c>
      <x:c r="L32" s="14" t="str"/>
      <x:c r="M32" s="14" t="str"/>
      <x:c r="N32" s="14" t="str"/>
      <x:c r="O32" s="14" t="str"/>
      <x:c r="P32" s="14" t="str">
        <x:f>IF(M32="","",M32-N32-O32-L32)</x:f>
      </x:c>
      <x:c r="Q32" s="13" t="str"/>
      <x:c r="R32" s="13" t="str"/>
      <x:c r="S32" s="13" t="str"/>
      <x:c r="T32" s="13" t="str">
        <x:v>High</x:v>
      </x:c>
    </x:row>
    <x:row r="33">
      <x:c r="A33" s="13" t="str">
        <x:v>Video Game</x:v>
      </x:c>
      <x:c r="B33" s="13" t="str">
        <x:v>PS3</x:v>
      </x:c>
      <x:c r="C33" s="13" t="str">
        <x:v>The Last of Us</x:v>
      </x:c>
      <x:c r="D33" s="13" t="str"/>
      <x:c r="E33" s="14" t="n">
        <x:v>15</x:v>
      </x:c>
      <x:c r="F33" s="14" t="n">
        <x:v>25</x:v>
      </x:c>
      <x:c r="G33" s="14" t="n">
        <x:v>20</x:v>
      </x:c>
      <x:c r="H33" s="14" t="n">
        <x:v>10</x:v>
      </x:c>
      <x:c r="I33" s="14" t="n">
        <x:v>19</x:v>
      </x:c>
      <x:c r="J33" s="14" t="str">
        <x:v>Flip First</x:v>
      </x:c>
      <x:c r="K33" s="14" t="str">
        <x:v>Inventory</x:v>
      </x:c>
      <x:c r="L33" s="14" t="str"/>
      <x:c r="M33" s="14" t="str"/>
      <x:c r="N33" s="14" t="str"/>
      <x:c r="O33" s="14" t="str"/>
      <x:c r="P33" s="14" t="str">
        <x:f>IF(M33="","",M33-N33-O33-L33)</x:f>
      </x:c>
      <x:c r="Q33" s="13" t="str"/>
      <x:c r="R33" s="13" t="str"/>
      <x:c r="S33" s="13" t="str"/>
      <x:c r="T33" s="13" t="str">
        <x:v>High</x:v>
      </x:c>
    </x:row>
    <x:row r="34">
      <x:c r="A34" s="13" t="str">
        <x:v>Video Game</x:v>
      </x:c>
      <x:c r="B34" s="13" t="str">
        <x:v>PS3</x:v>
      </x:c>
      <x:c r="C34" s="13" t="str">
        <x:v>Kingdom Hearts HD 1.5 Remix</x:v>
      </x:c>
      <x:c r="D34" s="13" t="str"/>
      <x:c r="E34" s="14" t="n">
        <x:v>15</x:v>
      </x:c>
      <x:c r="F34" s="14" t="n">
        <x:v>25</x:v>
      </x:c>
      <x:c r="G34" s="14" t="n">
        <x:v>20</x:v>
      </x:c>
      <x:c r="H34" s="14" t="n">
        <x:v>10</x:v>
      </x:c>
      <x:c r="I34" s="14" t="n">
        <x:v>19</x:v>
      </x:c>
      <x:c r="J34" s="14" t="str">
        <x:v>Flip First</x:v>
      </x:c>
      <x:c r="K34" s="14" t="str">
        <x:v>Inventory</x:v>
      </x:c>
      <x:c r="L34" s="14" t="str"/>
      <x:c r="M34" s="14" t="str"/>
      <x:c r="N34" s="14" t="str"/>
      <x:c r="O34" s="14" t="str"/>
      <x:c r="P34" s="14" t="str">
        <x:f>IF(M34="","",M34-N34-O34-L34)</x:f>
      </x:c>
      <x:c r="Q34" s="13" t="str"/>
      <x:c r="R34" s="13" t="str"/>
      <x:c r="S34" s="13" t="str"/>
      <x:c r="T34" s="13" t="str">
        <x:v>High</x:v>
      </x:c>
    </x:row>
    <x:row r="35">
      <x:c r="A35" s="13" t="str">
        <x:v>Video Game</x:v>
      </x:c>
      <x:c r="B35" s="13" t="str">
        <x:v>PS3</x:v>
      </x:c>
      <x:c r="C35" s="13" t="str">
        <x:v>Kingdom Hearts HD 2.5 Remix</x:v>
      </x:c>
      <x:c r="D35" s="13" t="str"/>
      <x:c r="E35" s="14" t="n">
        <x:v>15</x:v>
      </x:c>
      <x:c r="F35" s="14" t="n">
        <x:v>25</x:v>
      </x:c>
      <x:c r="G35" s="14" t="n">
        <x:v>20</x:v>
      </x:c>
      <x:c r="H35" s="14" t="n">
        <x:v>10</x:v>
      </x:c>
      <x:c r="I35" s="14" t="n">
        <x:v>19</x:v>
      </x:c>
      <x:c r="J35" s="14" t="str">
        <x:v>Flip First</x:v>
      </x:c>
      <x:c r="K35" s="14" t="str">
        <x:v>Inventory</x:v>
      </x:c>
      <x:c r="L35" s="14" t="str"/>
      <x:c r="M35" s="14" t="str"/>
      <x:c r="N35" s="14" t="str"/>
      <x:c r="O35" s="14" t="str"/>
      <x:c r="P35" s="14" t="str">
        <x:f>IF(M35="","",M35-N35-O35-L35)</x:f>
      </x:c>
      <x:c r="Q35" s="13" t="str"/>
      <x:c r="R35" s="13" t="str"/>
      <x:c r="S35" s="13" t="str"/>
      <x:c r="T35" s="13" t="str">
        <x:v>High</x:v>
      </x:c>
    </x:row>
    <x:row r="36">
      <x:c r="A36" s="13" t="str">
        <x:v>Video Game</x:v>
      </x:c>
      <x:c r="B36" s="13" t="str">
        <x:v>PS3</x:v>
      </x:c>
      <x:c r="C36" s="13" t="str">
        <x:v>Metal Gear Solid 4</x:v>
      </x:c>
      <x:c r="D36" s="13" t="str"/>
      <x:c r="E36" s="14" t="n">
        <x:v>15</x:v>
      </x:c>
      <x:c r="F36" s="14" t="n">
        <x:v>25</x:v>
      </x:c>
      <x:c r="G36" s="14" t="n">
        <x:v>20</x:v>
      </x:c>
      <x:c r="H36" s="14" t="n">
        <x:v>10</x:v>
      </x:c>
      <x:c r="I36" s="14" t="n">
        <x:v>19</x:v>
      </x:c>
      <x:c r="J36" s="14" t="str">
        <x:v>Flip First</x:v>
      </x:c>
      <x:c r="K36" s="14" t="str">
        <x:v>Inventory</x:v>
      </x:c>
      <x:c r="L36" s="14" t="str"/>
      <x:c r="M36" s="14" t="str"/>
      <x:c r="N36" s="14" t="str"/>
      <x:c r="O36" s="14" t="str"/>
      <x:c r="P36" s="14" t="str">
        <x:f>IF(M36="","",M36-N36-O36-L36)</x:f>
      </x:c>
      <x:c r="Q36" s="13" t="str"/>
      <x:c r="R36" s="13" t="str"/>
      <x:c r="S36" s="13" t="str"/>
      <x:c r="T36" s="13" t="str">
        <x:v>High</x:v>
      </x:c>
    </x:row>
    <x:row r="37">
      <x:c r="A37" s="13" t="str">
        <x:v>Video Game</x:v>
      </x:c>
      <x:c r="B37" s="13" t="str">
        <x:v>PS3</x:v>
      </x:c>
      <x:c r="C37" s="13" t="str">
        <x:v>Red Dead Redemption: Game of the Year Edition</x:v>
      </x:c>
      <x:c r="D37" s="13" t="str"/>
      <x:c r="E37" s="14" t="n">
        <x:v>15</x:v>
      </x:c>
      <x:c r="F37" s="14" t="n">
        <x:v>25</x:v>
      </x:c>
      <x:c r="G37" s="14" t="n">
        <x:v>20</x:v>
      </x:c>
      <x:c r="H37" s="14" t="n">
        <x:v>10</x:v>
      </x:c>
      <x:c r="I37" s="14" t="n">
        <x:v>19</x:v>
      </x:c>
      <x:c r="J37" s="14" t="str">
        <x:v>Flip First</x:v>
      </x:c>
      <x:c r="K37" s="14" t="str">
        <x:v>Inventory</x:v>
      </x:c>
      <x:c r="L37" s="14" t="str"/>
      <x:c r="M37" s="14" t="str"/>
      <x:c r="N37" s="14" t="str"/>
      <x:c r="O37" s="14" t="str"/>
      <x:c r="P37" s="14" t="str">
        <x:f>IF(M37="","",M37-N37-O37-L37)</x:f>
      </x:c>
      <x:c r="Q37" s="13" t="str"/>
      <x:c r="R37" s="13" t="str"/>
      <x:c r="S37" s="13" t="str"/>
      <x:c r="T37" s="13" t="str">
        <x:v>High</x:v>
      </x:c>
    </x:row>
    <x:row r="38">
      <x:c r="A38" s="13" t="str">
        <x:v>Video Game</x:v>
      </x:c>
      <x:c r="B38" s="13" t="str">
        <x:v>PS3</x:v>
      </x:c>
      <x:c r="C38" s="13" t="str">
        <x:v>Epic Mickey 2</x:v>
      </x:c>
      <x:c r="D38" s="13" t="str"/>
      <x:c r="E38" s="14" t="n">
        <x:v>15</x:v>
      </x:c>
      <x:c r="F38" s="14" t="n">
        <x:v>20</x:v>
      </x:c>
      <x:c r="G38" s="14" t="n">
        <x:v>17.5</x:v>
      </x:c>
      <x:c r="H38" s="14" t="n">
        <x:v>10</x:v>
      </x:c>
      <x:c r="I38" s="14" t="n">
        <x:v>15</x:v>
      </x:c>
      <x:c r="J38" s="14" t="str">
        <x:v>Worth Listing</x:v>
      </x:c>
      <x:c r="K38" s="14" t="str">
        <x:v>Inventory</x:v>
      </x:c>
      <x:c r="L38" s="14" t="str"/>
      <x:c r="M38" s="14" t="str"/>
      <x:c r="N38" s="14" t="str"/>
      <x:c r="O38" s="14" t="str"/>
      <x:c r="P38" s="14" t="str">
        <x:f>IF(M38="","",M38-N38-O38-L38)</x:f>
      </x:c>
      <x:c r="Q38" s="13" t="str"/>
      <x:c r="R38" s="13" t="str"/>
      <x:c r="S38" s="13" t="str"/>
      <x:c r="T38" s="13" t="str">
        <x:v>High</x:v>
      </x:c>
    </x:row>
    <x:row r="39">
      <x:c r="A39" s="13" t="str">
        <x:v>Video Game</x:v>
      </x:c>
      <x:c r="B39" s="13" t="str">
        <x:v>PS3</x:v>
      </x:c>
      <x:c r="C39" s="13" t="str">
        <x:v>Ratchet &amp; Clank: All 4 One</x:v>
      </x:c>
      <x:c r="D39" s="13" t="str"/>
      <x:c r="E39" s="14" t="n">
        <x:v>10</x:v>
      </x:c>
      <x:c r="F39" s="14" t="n">
        <x:v>15</x:v>
      </x:c>
      <x:c r="G39" s="14" t="n">
        <x:v>12.5</x:v>
      </x:c>
      <x:c r="H39" s="14" t="n">
        <x:v>6</x:v>
      </x:c>
      <x:c r="I39" s="14" t="n">
        <x:v>11</x:v>
      </x:c>
      <x:c r="J39" s="14" t="str">
        <x:v>Worth Listing</x:v>
      </x:c>
      <x:c r="K39" s="14" t="str">
        <x:v>Inventory</x:v>
      </x:c>
      <x:c r="L39" s="14" t="str"/>
      <x:c r="M39" s="14" t="str"/>
      <x:c r="N39" s="14" t="str"/>
      <x:c r="O39" s="14" t="str"/>
      <x:c r="P39" s="14" t="str">
        <x:f>IF(M39="","",M39-N39-O39-L39)</x:f>
      </x:c>
      <x:c r="Q39" s="13" t="str"/>
      <x:c r="R39" s="13" t="str"/>
      <x:c r="S39" s="13" t="str"/>
      <x:c r="T39" s="13" t="str">
        <x:v>High</x:v>
      </x:c>
    </x:row>
    <x:row r="40">
      <x:c r="A40" s="13" t="str">
        <x:v>Video Game</x:v>
      </x:c>
      <x:c r="B40" s="13" t="str">
        <x:v>PS3</x:v>
      </x:c>
      <x:c r="C40" s="13" t="str">
        <x:v>Prototype 2</x:v>
      </x:c>
      <x:c r="D40" s="13" t="str"/>
      <x:c r="E40" s="14" t="n">
        <x:v>10</x:v>
      </x:c>
      <x:c r="F40" s="14" t="n">
        <x:v>20</x:v>
      </x:c>
      <x:c r="G40" s="14" t="n">
        <x:v>15</x:v>
      </x:c>
      <x:c r="H40" s="14" t="n">
        <x:v>6</x:v>
      </x:c>
      <x:c r="I40" s="14" t="n">
        <x:v>15</x:v>
      </x:c>
      <x:c r="J40" s="14" t="str">
        <x:v>Worth Listing</x:v>
      </x:c>
      <x:c r="K40" s="14" t="str">
        <x:v>Inventory</x:v>
      </x:c>
      <x:c r="L40" s="14" t="str"/>
      <x:c r="M40" s="14" t="str"/>
      <x:c r="N40" s="14" t="str"/>
      <x:c r="O40" s="14" t="str"/>
      <x:c r="P40" s="14" t="str">
        <x:f>IF(M40="","",M40-N40-O40-L40)</x:f>
      </x:c>
      <x:c r="Q40" s="13" t="str"/>
      <x:c r="R40" s="13" t="str"/>
      <x:c r="S40" s="13" t="str"/>
      <x:c r="T40" s="13" t="str">
        <x:v>High</x:v>
      </x:c>
    </x:row>
    <x:row r="41">
      <x:c r="A41" s="13" t="str">
        <x:v>Video Game</x:v>
      </x:c>
      <x:c r="B41" s="13" t="str">
        <x:v>PS3</x:v>
      </x:c>
      <x:c r="C41" s="13" t="str">
        <x:v>White Knight Chronicles</x:v>
      </x:c>
      <x:c r="D41" s="13" t="str"/>
      <x:c r="E41" s="14" t="n">
        <x:v>10</x:v>
      </x:c>
      <x:c r="F41" s="14" t="n">
        <x:v>20</x:v>
      </x:c>
      <x:c r="G41" s="14" t="n">
        <x:v>15</x:v>
      </x:c>
      <x:c r="H41" s="14" t="n">
        <x:v>6</x:v>
      </x:c>
      <x:c r="I41" s="14" t="n">
        <x:v>15</x:v>
      </x:c>
      <x:c r="J41" s="14" t="str">
        <x:v>Worth Listing</x:v>
      </x:c>
      <x:c r="K41" s="14" t="str">
        <x:v>Inventory</x:v>
      </x:c>
      <x:c r="L41" s="14" t="str"/>
      <x:c r="M41" s="14" t="str"/>
      <x:c r="N41" s="14" t="str"/>
      <x:c r="O41" s="14" t="str"/>
      <x:c r="P41" s="14" t="str">
        <x:f>IF(M41="","",M41-N41-O41-L41)</x:f>
      </x:c>
      <x:c r="Q41" s="13" t="str"/>
      <x:c r="R41" s="13" t="str"/>
      <x:c r="S41" s="13" t="str"/>
      <x:c r="T41" s="13" t="str">
        <x:v>High</x:v>
      </x:c>
    </x:row>
    <x:row r="42">
      <x:c r="A42" s="13" t="str">
        <x:v>Video Game</x:v>
      </x:c>
      <x:c r="B42" s="13" t="str">
        <x:v>PS3</x:v>
      </x:c>
      <x:c r="C42" s="13" t="str">
        <x:v>BioShock: Ultimate Rapture Edition</x:v>
      </x:c>
      <x:c r="D42" s="13" t="str"/>
      <x:c r="E42" s="14" t="n">
        <x:v>10</x:v>
      </x:c>
      <x:c r="F42" s="14" t="n">
        <x:v>20</x:v>
      </x:c>
      <x:c r="G42" s="14" t="n">
        <x:v>15</x:v>
      </x:c>
      <x:c r="H42" s="14" t="n">
        <x:v>6</x:v>
      </x:c>
      <x:c r="I42" s="14" t="n">
        <x:v>15</x:v>
      </x:c>
      <x:c r="J42" s="14" t="str">
        <x:v>Worth Listing</x:v>
      </x:c>
      <x:c r="K42" s="14" t="str">
        <x:v>Inventory</x:v>
      </x:c>
      <x:c r="L42" s="14" t="str"/>
      <x:c r="M42" s="14" t="str"/>
      <x:c r="N42" s="14" t="str"/>
      <x:c r="O42" s="14" t="str"/>
      <x:c r="P42" s="14" t="str">
        <x:f>IF(M42="","",M42-N42-O42-L42)</x:f>
      </x:c>
      <x:c r="Q42" s="13" t="str"/>
      <x:c r="R42" s="13" t="str"/>
      <x:c r="S42" s="13" t="str"/>
      <x:c r="T42" s="13" t="str">
        <x:v>High</x:v>
      </x:c>
    </x:row>
    <x:row r="43">
      <x:c r="A43" s="13" t="str">
        <x:v>Video Game</x:v>
      </x:c>
      <x:c r="B43" s="13" t="str">
        <x:v>PS3</x:v>
      </x:c>
      <x:c r="C43" s="13" t="str">
        <x:v>The Evil Within</x:v>
      </x:c>
      <x:c r="D43" s="13" t="str"/>
      <x:c r="E43" s="14" t="n">
        <x:v>10</x:v>
      </x:c>
      <x:c r="F43" s="14" t="n">
        <x:v>20</x:v>
      </x:c>
      <x:c r="G43" s="14" t="n">
        <x:v>15</x:v>
      </x:c>
      <x:c r="H43" s="14" t="n">
        <x:v>6</x:v>
      </x:c>
      <x:c r="I43" s="14" t="n">
        <x:v>15</x:v>
      </x:c>
      <x:c r="J43" s="14" t="str">
        <x:v>Worth Listing</x:v>
      </x:c>
      <x:c r="K43" s="14" t="str">
        <x:v>Inventory</x:v>
      </x:c>
      <x:c r="L43" s="14" t="str"/>
      <x:c r="M43" s="14" t="str"/>
      <x:c r="N43" s="14" t="str"/>
      <x:c r="O43" s="14" t="str"/>
      <x:c r="P43" s="14" t="str">
        <x:f>IF(M43="","",M43-N43-O43-L43)</x:f>
      </x:c>
      <x:c r="Q43" s="13" t="str"/>
      <x:c r="R43" s="13" t="str"/>
      <x:c r="S43" s="13" t="str"/>
      <x:c r="T43" s="13" t="str">
        <x:v>High</x:v>
      </x:c>
    </x:row>
    <x:row r="44">
      <x:c r="A44" s="13" t="str">
        <x:v>Video Game</x:v>
      </x:c>
      <x:c r="B44" s="13" t="str">
        <x:v>PS3</x:v>
      </x:c>
      <x:c r="C44" s="13" t="str">
        <x:v>Wolfenstein: The New Order</x:v>
      </x:c>
      <x:c r="D44" s="13" t="str"/>
      <x:c r="E44" s="14" t="n">
        <x:v>10</x:v>
      </x:c>
      <x:c r="F44" s="14" t="n">
        <x:v>20</x:v>
      </x:c>
      <x:c r="G44" s="14" t="n">
        <x:v>15</x:v>
      </x:c>
      <x:c r="H44" s="14" t="n">
        <x:v>6</x:v>
      </x:c>
      <x:c r="I44" s="14" t="n">
        <x:v>15</x:v>
      </x:c>
      <x:c r="J44" s="14" t="str">
        <x:v>Worth Listing</x:v>
      </x:c>
      <x:c r="K44" s="14" t="str">
        <x:v>Inventory</x:v>
      </x:c>
      <x:c r="L44" s="14" t="str"/>
      <x:c r="M44" s="14" t="str"/>
      <x:c r="N44" s="14" t="str"/>
      <x:c r="O44" s="14" t="str"/>
      <x:c r="P44" s="14" t="str">
        <x:f>IF(M44="","",M44-N44-O44-L44)</x:f>
      </x:c>
      <x:c r="Q44" s="13" t="str"/>
      <x:c r="R44" s="13" t="str"/>
      <x:c r="S44" s="13" t="str"/>
      <x:c r="T44" s="13" t="str">
        <x:v>High</x:v>
      </x:c>
    </x:row>
    <x:row r="45">
      <x:c r="A45" s="13" t="str">
        <x:v>Video Game</x:v>
      </x:c>
      <x:c r="B45" s="13" t="str">
        <x:v>PS3</x:v>
      </x:c>
      <x:c r="C45" s="13" t="str">
        <x:v>Dead Island</x:v>
      </x:c>
      <x:c r="D45" s="13" t="str"/>
      <x:c r="E45" s="14" t="n">
        <x:v>10</x:v>
      </x:c>
      <x:c r="F45" s="14" t="n">
        <x:v>20</x:v>
      </x:c>
      <x:c r="G45" s="14" t="n">
        <x:v>15</x:v>
      </x:c>
      <x:c r="H45" s="14" t="n">
        <x:v>6</x:v>
      </x:c>
      <x:c r="I45" s="14" t="n">
        <x:v>15</x:v>
      </x:c>
      <x:c r="J45" s="14" t="str">
        <x:v>Worth Listing</x:v>
      </x:c>
      <x:c r="K45" s="14" t="str">
        <x:v>Inventory</x:v>
      </x:c>
      <x:c r="L45" s="14" t="str"/>
      <x:c r="M45" s="14" t="str"/>
      <x:c r="N45" s="14" t="str"/>
      <x:c r="O45" s="14" t="str"/>
      <x:c r="P45" s="14" t="str">
        <x:f>IF(M45="","",M45-N45-O45-L45)</x:f>
      </x:c>
      <x:c r="Q45" s="13" t="str"/>
      <x:c r="R45" s="13" t="str"/>
      <x:c r="S45" s="13" t="str"/>
      <x:c r="T45" s="13" t="str">
        <x:v>High</x:v>
      </x:c>
    </x:row>
    <x:row r="46">
      <x:c r="A46" s="13" t="str">
        <x:v>Video Game</x:v>
      </x:c>
      <x:c r="B46" s="13" t="str">
        <x:v>PS3</x:v>
      </x:c>
      <x:c r="C46" s="13" t="str">
        <x:v>Dragon Age: Origins</x:v>
      </x:c>
      <x:c r="D46" s="13" t="str"/>
      <x:c r="E46" s="14" t="n">
        <x:v>10</x:v>
      </x:c>
      <x:c r="F46" s="14" t="n">
        <x:v>20</x:v>
      </x:c>
      <x:c r="G46" s="14" t="n">
        <x:v>15</x:v>
      </x:c>
      <x:c r="H46" s="14" t="n">
        <x:v>6</x:v>
      </x:c>
      <x:c r="I46" s="14" t="n">
        <x:v>15</x:v>
      </x:c>
      <x:c r="J46" s="14" t="str">
        <x:v>Worth Listing</x:v>
      </x:c>
      <x:c r="K46" s="14" t="str">
        <x:v>Inventory</x:v>
      </x:c>
      <x:c r="L46" s="14" t="str"/>
      <x:c r="M46" s="14" t="str"/>
      <x:c r="N46" s="14" t="str"/>
      <x:c r="O46" s="14" t="str"/>
      <x:c r="P46" s="14" t="str">
        <x:f>IF(M46="","",M46-N46-O46-L46)</x:f>
      </x:c>
      <x:c r="Q46" s="13" t="str"/>
      <x:c r="R46" s="13" t="str"/>
      <x:c r="S46" s="13" t="str"/>
      <x:c r="T46" s="13" t="str">
        <x:v>High</x:v>
      </x:c>
    </x:row>
    <x:row r="47">
      <x:c r="A47" s="13" t="str">
        <x:v>Video Game</x:v>
      </x:c>
      <x:c r="B47" s="13" t="str">
        <x:v>PS3</x:v>
      </x:c>
      <x:c r="C47" s="13" t="str">
        <x:v>Dragon Age II</x:v>
      </x:c>
      <x:c r="D47" s="13" t="str"/>
      <x:c r="E47" s="14" t="n">
        <x:v>10</x:v>
      </x:c>
      <x:c r="F47" s="14" t="n">
        <x:v>20</x:v>
      </x:c>
      <x:c r="G47" s="14" t="n">
        <x:v>15</x:v>
      </x:c>
      <x:c r="H47" s="14" t="n">
        <x:v>6</x:v>
      </x:c>
      <x:c r="I47" s="14" t="n">
        <x:v>15</x:v>
      </x:c>
      <x:c r="J47" s="14" t="str">
        <x:v>Worth Listing</x:v>
      </x:c>
      <x:c r="K47" s="14" t="str">
        <x:v>Inventory</x:v>
      </x:c>
      <x:c r="L47" s="14" t="str"/>
      <x:c r="M47" s="14" t="str"/>
      <x:c r="N47" s="14" t="str"/>
      <x:c r="O47" s="14" t="str"/>
      <x:c r="P47" s="14" t="str">
        <x:f>IF(M47="","",M47-N47-O47-L47)</x:f>
      </x:c>
      <x:c r="Q47" s="13" t="str"/>
      <x:c r="R47" s="13" t="str"/>
      <x:c r="S47" s="13" t="str"/>
      <x:c r="T47" s="13" t="str">
        <x:v>High</x:v>
      </x:c>
    </x:row>
    <x:row r="48">
      <x:c r="A48" s="13" t="str">
        <x:v>Video Game</x:v>
      </x:c>
      <x:c r="B48" s="13" t="str">
        <x:v>PS3</x:v>
      </x:c>
      <x:c r="C48" s="13" t="str">
        <x:v>Grand Theft Auto IV / Episodes from Liberty City</x:v>
      </x:c>
      <x:c r="D48" s="13" t="str"/>
      <x:c r="E48" s="14" t="n">
        <x:v>10</x:v>
      </x:c>
      <x:c r="F48" s="14" t="n">
        <x:v>20</x:v>
      </x:c>
      <x:c r="G48" s="14" t="n">
        <x:v>15</x:v>
      </x:c>
      <x:c r="H48" s="14" t="n">
        <x:v>6</x:v>
      </x:c>
      <x:c r="I48" s="14" t="n">
        <x:v>15</x:v>
      </x:c>
      <x:c r="J48" s="14" t="str">
        <x:v>Worth Listing</x:v>
      </x:c>
      <x:c r="K48" s="14" t="str">
        <x:v>Inventory</x:v>
      </x:c>
      <x:c r="L48" s="14" t="str"/>
      <x:c r="M48" s="14" t="str"/>
      <x:c r="N48" s="14" t="str"/>
      <x:c r="O48" s="14" t="str"/>
      <x:c r="P48" s="14" t="str">
        <x:f>IF(M48="","",M48-N48-O48-L48)</x:f>
      </x:c>
      <x:c r="Q48" s="13" t="str"/>
      <x:c r="R48" s="13" t="str"/>
      <x:c r="S48" s="13" t="str"/>
      <x:c r="T48" s="13" t="str">
        <x:v>High</x:v>
      </x:c>
    </x:row>
    <x:row r="49">
      <x:c r="A49" s="13" t="str">
        <x:v>Video Game</x:v>
      </x:c>
      <x:c r="B49" s="13" t="str">
        <x:v>PS3</x:v>
      </x:c>
      <x:c r="C49" s="13" t="str">
        <x:v>Super Street Fighter IV</x:v>
      </x:c>
      <x:c r="D49" s="13" t="str"/>
      <x:c r="E49" s="14" t="n">
        <x:v>10</x:v>
      </x:c>
      <x:c r="F49" s="14" t="n">
        <x:v>20</x:v>
      </x:c>
      <x:c r="G49" s="14" t="n">
        <x:v>15</x:v>
      </x:c>
      <x:c r="H49" s="14" t="n">
        <x:v>6</x:v>
      </x:c>
      <x:c r="I49" s="14" t="n">
        <x:v>15</x:v>
      </x:c>
      <x:c r="J49" s="14" t="str">
        <x:v>Worth Listing</x:v>
      </x:c>
      <x:c r="K49" s="14" t="str">
        <x:v>Inventory</x:v>
      </x:c>
      <x:c r="L49" s="14" t="str"/>
      <x:c r="M49" s="14" t="str"/>
      <x:c r="N49" s="14" t="str"/>
      <x:c r="O49" s="14" t="str"/>
      <x:c r="P49" s="14" t="str">
        <x:f>IF(M49="","",M49-N49-O49-L49)</x:f>
      </x:c>
      <x:c r="Q49" s="13" t="str"/>
      <x:c r="R49" s="13" t="str"/>
      <x:c r="S49" s="13" t="str"/>
      <x:c r="T49" s="13" t="str">
        <x:v>High</x:v>
      </x:c>
    </x:row>
    <x:row r="50">
      <x:c r="A50" s="13" t="str">
        <x:v>Video Game</x:v>
      </x:c>
      <x:c r="B50" s="13" t="str">
        <x:v>PS3</x:v>
      </x:c>
      <x:c r="C50" s="13" t="str">
        <x:v>The Elder Scrolls IV: Oblivion</x:v>
      </x:c>
      <x:c r="D50" s="13" t="str"/>
      <x:c r="E50" s="14" t="n">
        <x:v>10</x:v>
      </x:c>
      <x:c r="F50" s="14" t="n">
        <x:v>20</x:v>
      </x:c>
      <x:c r="G50" s="14" t="n">
        <x:v>15</x:v>
      </x:c>
      <x:c r="H50" s="14" t="n">
        <x:v>6</x:v>
      </x:c>
      <x:c r="I50" s="14" t="n">
        <x:v>15</x:v>
      </x:c>
      <x:c r="J50" s="14" t="str">
        <x:v>Worth Listing</x:v>
      </x:c>
      <x:c r="K50" s="14" t="str">
        <x:v>Inventory</x:v>
      </x:c>
      <x:c r="L50" s="14" t="str"/>
      <x:c r="M50" s="14" t="str"/>
      <x:c r="N50" s="14" t="str"/>
      <x:c r="O50" s="14" t="str"/>
      <x:c r="P50" s="14" t="str">
        <x:f>IF(M50="","",M50-N50-O50-L50)</x:f>
      </x:c>
      <x:c r="Q50" s="13" t="str"/>
      <x:c r="R50" s="13" t="str"/>
      <x:c r="S50" s="13" t="str"/>
      <x:c r="T50" s="13" t="str">
        <x:v>High</x:v>
      </x:c>
    </x:row>
    <x:row r="51">
      <x:c r="A51" s="13" t="str">
        <x:v>Video Game</x:v>
      </x:c>
      <x:c r="B51" s="13" t="str">
        <x:v>PS3</x:v>
      </x:c>
      <x:c r="C51" s="13" t="str">
        <x:v>Batman: Arkham Asylum GOTY</x:v>
      </x:c>
      <x:c r="D51" s="13" t="str"/>
      <x:c r="E51" s="14" t="n">
        <x:v>10</x:v>
      </x:c>
      <x:c r="F51" s="14" t="n">
        <x:v>20</x:v>
      </x:c>
      <x:c r="G51" s="14" t="n">
        <x:v>15</x:v>
      </x:c>
      <x:c r="H51" s="14" t="n">
        <x:v>6</x:v>
      </x:c>
      <x:c r="I51" s="14" t="n">
        <x:v>15</x:v>
      </x:c>
      <x:c r="J51" s="14" t="str">
        <x:v>Worth Listing</x:v>
      </x:c>
      <x:c r="K51" s="14" t="str">
        <x:v>Inventory</x:v>
      </x:c>
      <x:c r="L51" s="14" t="str"/>
      <x:c r="M51" s="14" t="str"/>
      <x:c r="N51" s="14" t="str"/>
      <x:c r="O51" s="14" t="str"/>
      <x:c r="P51" s="14" t="str">
        <x:f>IF(M51="","",M51-N51-O51-L51)</x:f>
      </x:c>
      <x:c r="Q51" s="13" t="str"/>
      <x:c r="R51" s="13" t="str"/>
      <x:c r="S51" s="13" t="str"/>
      <x:c r="T51" s="13" t="str">
        <x:v>High</x:v>
      </x:c>
    </x:row>
    <x:row r="52">
      <x:c r="A52" s="13" t="str">
        <x:v>Video Game</x:v>
      </x:c>
      <x:c r="B52" s="13" t="str">
        <x:v>PS3</x:v>
      </x:c>
      <x:c r="C52" s="13" t="str">
        <x:v>God of War III</x:v>
      </x:c>
      <x:c r="D52" s="13" t="str"/>
      <x:c r="E52" s="14" t="n">
        <x:v>8</x:v>
      </x:c>
      <x:c r="F52" s="14" t="n">
        <x:v>15</x:v>
      </x:c>
      <x:c r="G52" s="14" t="n">
        <x:v>11.5</x:v>
      </x:c>
      <x:c r="H52" s="14" t="n">
        <x:v>5</x:v>
      </x:c>
      <x:c r="I52" s="14" t="n">
        <x:v>11</x:v>
      </x:c>
      <x:c r="J52" s="14" t="str">
        <x:v>Worth Listing</x:v>
      </x:c>
      <x:c r="K52" s="14" t="str">
        <x:v>Inventory</x:v>
      </x:c>
      <x:c r="L52" s="14" t="str"/>
      <x:c r="M52" s="14" t="str"/>
      <x:c r="N52" s="14" t="str"/>
      <x:c r="O52" s="14" t="str"/>
      <x:c r="P52" s="14" t="str">
        <x:f>IF(M52="","",M52-N52-O52-L52)</x:f>
      </x:c>
      <x:c r="Q52" s="13" t="str"/>
      <x:c r="R52" s="13" t="str"/>
      <x:c r="S52" s="13" t="str"/>
      <x:c r="T52" s="13" t="str">
        <x:v>High</x:v>
      </x:c>
    </x:row>
    <x:row r="53">
      <x:c r="A53" s="13" t="str">
        <x:v>Video Game</x:v>
      </x:c>
      <x:c r="B53" s="13" t="str">
        <x:v>PS3</x:v>
      </x:c>
      <x:c r="C53" s="13" t="str">
        <x:v>Borderlands 2</x:v>
      </x:c>
      <x:c r="D53" s="13" t="str"/>
      <x:c r="E53" s="14" t="n">
        <x:v>5</x:v>
      </x:c>
      <x:c r="F53" s="14" t="n">
        <x:v>10</x:v>
      </x:c>
      <x:c r="G53" s="14" t="n">
        <x:v>7.5</x:v>
      </x:c>
      <x:c r="H53" s="14" t="n">
        <x:v>3</x:v>
      </x:c>
      <x:c r="I53" s="14" t="n">
        <x:v>8</x:v>
      </x:c>
      <x:c r="J53" s="14" t="str">
        <x:v>Bundle/Common</x:v>
      </x:c>
      <x:c r="K53" s="14" t="str">
        <x:v>Inventory</x:v>
      </x:c>
      <x:c r="L53" s="14" t="str"/>
      <x:c r="M53" s="14" t="str"/>
      <x:c r="N53" s="14" t="str"/>
      <x:c r="O53" s="14" t="str"/>
      <x:c r="P53" s="14" t="str">
        <x:f>IF(M53="","",M53-N53-O53-L53)</x:f>
      </x:c>
      <x:c r="Q53" s="13" t="str"/>
      <x:c r="R53" s="13" t="str"/>
      <x:c r="S53" s="13" t="str"/>
      <x:c r="T53" s="13" t="str">
        <x:v>High</x:v>
      </x:c>
    </x:row>
    <x:row r="54">
      <x:c r="A54" s="13" t="str">
        <x:v>Video Game</x:v>
      </x:c>
      <x:c r="B54" s="13" t="str">
        <x:v>PS3</x:v>
      </x:c>
      <x:c r="C54" s="13" t="str">
        <x:v>Mass Effect 3</x:v>
      </x:c>
      <x:c r="D54" s="13" t="str"/>
      <x:c r="E54" s="14" t="n">
        <x:v>5</x:v>
      </x:c>
      <x:c r="F54" s="14" t="n">
        <x:v>10</x:v>
      </x:c>
      <x:c r="G54" s="14" t="n">
        <x:v>7.5</x:v>
      </x:c>
      <x:c r="H54" s="14" t="n">
        <x:v>3</x:v>
      </x:c>
      <x:c r="I54" s="14" t="n">
        <x:v>8</x:v>
      </x:c>
      <x:c r="J54" s="14" t="str">
        <x:v>Bundle/Common</x:v>
      </x:c>
      <x:c r="K54" s="14" t="str">
        <x:v>Inventory</x:v>
      </x:c>
      <x:c r="L54" s="14" t="str"/>
      <x:c r="M54" s="14" t="str"/>
      <x:c r="N54" s="14" t="str"/>
      <x:c r="O54" s="14" t="str"/>
      <x:c r="P54" s="14" t="str">
        <x:f>IF(M54="","",M54-N54-O54-L54)</x:f>
      </x:c>
      <x:c r="Q54" s="13" t="str"/>
      <x:c r="R54" s="13" t="str"/>
      <x:c r="S54" s="13" t="str"/>
      <x:c r="T54" s="13" t="str">
        <x:v>High</x:v>
      </x:c>
    </x:row>
    <x:row r="55">
      <x:c r="A55" s="13" t="str">
        <x:v>Video Game</x:v>
      </x:c>
      <x:c r="B55" s="13" t="str">
        <x:v>PS3</x:v>
      </x:c>
      <x:c r="C55" s="13" t="str">
        <x:v>Fallout 3</x:v>
      </x:c>
      <x:c r="D55" s="13" t="str"/>
      <x:c r="E55" s="14" t="n">
        <x:v>5</x:v>
      </x:c>
      <x:c r="F55" s="14" t="n">
        <x:v>10</x:v>
      </x:c>
      <x:c r="G55" s="14" t="n">
        <x:v>7.5</x:v>
      </x:c>
      <x:c r="H55" s="14" t="n">
        <x:v>3</x:v>
      </x:c>
      <x:c r="I55" s="14" t="n">
        <x:v>8</x:v>
      </x:c>
      <x:c r="J55" s="14" t="str">
        <x:v>Bundle/Common</x:v>
      </x:c>
      <x:c r="K55" s="14" t="str">
        <x:v>Inventory</x:v>
      </x:c>
      <x:c r="L55" s="14" t="str"/>
      <x:c r="M55" s="14" t="str"/>
      <x:c r="N55" s="14" t="str"/>
      <x:c r="O55" s="14" t="str"/>
      <x:c r="P55" s="14" t="str">
        <x:f>IF(M55="","",M55-N55-O55-L55)</x:f>
      </x:c>
      <x:c r="Q55" s="13" t="str"/>
      <x:c r="R55" s="13" t="str"/>
      <x:c r="S55" s="13" t="str"/>
      <x:c r="T55" s="13" t="str">
        <x:v>High</x:v>
      </x:c>
    </x:row>
    <x:row r="56">
      <x:c r="A56" s="13" t="str">
        <x:v>Video Game</x:v>
      </x:c>
      <x:c r="B56" s="13" t="str">
        <x:v>PS3</x:v>
      </x:c>
      <x:c r="C56" s="13" t="str">
        <x:v>Uncharted 3</x:v>
      </x:c>
      <x:c r="D56" s="13" t="str"/>
      <x:c r="E56" s="14" t="n">
        <x:v>5</x:v>
      </x:c>
      <x:c r="F56" s="14" t="n">
        <x:v>10</x:v>
      </x:c>
      <x:c r="G56" s="14" t="n">
        <x:v>7.5</x:v>
      </x:c>
      <x:c r="H56" s="14" t="n">
        <x:v>3</x:v>
      </x:c>
      <x:c r="I56" s="14" t="n">
        <x:v>8</x:v>
      </x:c>
      <x:c r="J56" s="14" t="str">
        <x:v>Bundle/Common</x:v>
      </x:c>
      <x:c r="K56" s="14" t="str">
        <x:v>Inventory</x:v>
      </x:c>
      <x:c r="L56" s="14" t="str"/>
      <x:c r="M56" s="14" t="str"/>
      <x:c r="N56" s="14" t="str"/>
      <x:c r="O56" s="14" t="str"/>
      <x:c r="P56" s="14" t="str">
        <x:f>IF(M56="","",M56-N56-O56-L56)</x:f>
      </x:c>
      <x:c r="Q56" s="13" t="str"/>
      <x:c r="R56" s="13" t="str"/>
      <x:c r="S56" s="13" t="str"/>
      <x:c r="T56" s="13" t="str">
        <x:v>High</x:v>
      </x:c>
    </x:row>
    <x:row r="57">
      <x:c r="A57" s="13" t="str">
        <x:v>Video Game</x:v>
      </x:c>
      <x:c r="B57" s="13" t="str">
        <x:v>PS3</x:v>
      </x:c>
      <x:c r="C57" s="13" t="str">
        <x:v>Resistance 2</x:v>
      </x:c>
      <x:c r="D57" s="13" t="str"/>
      <x:c r="E57" s="14" t="n">
        <x:v>5</x:v>
      </x:c>
      <x:c r="F57" s="14" t="n">
        <x:v>10</x:v>
      </x:c>
      <x:c r="G57" s="14" t="n">
        <x:v>7.5</x:v>
      </x:c>
      <x:c r="H57" s="14" t="n">
        <x:v>3</x:v>
      </x:c>
      <x:c r="I57" s="14" t="n">
        <x:v>8</x:v>
      </x:c>
      <x:c r="J57" s="14" t="str">
        <x:v>Bundle/Common</x:v>
      </x:c>
      <x:c r="K57" s="14" t="str">
        <x:v>Inventory</x:v>
      </x:c>
      <x:c r="L57" s="14" t="str"/>
      <x:c r="M57" s="14" t="str"/>
      <x:c r="N57" s="14" t="str"/>
      <x:c r="O57" s="14" t="str"/>
      <x:c r="P57" s="14" t="str">
        <x:f>IF(M57="","",M57-N57-O57-L57)</x:f>
      </x:c>
      <x:c r="Q57" s="13" t="str"/>
      <x:c r="R57" s="13" t="str"/>
      <x:c r="S57" s="13" t="str"/>
      <x:c r="T57" s="13" t="str">
        <x:v>High</x:v>
      </x:c>
    </x:row>
    <x:row r="58">
      <x:c r="A58" s="13" t="str">
        <x:v>Video Game</x:v>
      </x:c>
      <x:c r="B58" s="13" t="str">
        <x:v>PS3</x:v>
      </x:c>
      <x:c r="C58" s="13" t="str">
        <x:v>Battlefield 3</x:v>
      </x:c>
      <x:c r="D58" s="13" t="str"/>
      <x:c r="E58" s="14" t="n">
        <x:v>5</x:v>
      </x:c>
      <x:c r="F58" s="14" t="n">
        <x:v>10</x:v>
      </x:c>
      <x:c r="G58" s="14" t="n">
        <x:v>7.5</x:v>
      </x:c>
      <x:c r="H58" s="14" t="n">
        <x:v>3</x:v>
      </x:c>
      <x:c r="I58" s="14" t="n">
        <x:v>8</x:v>
      </x:c>
      <x:c r="J58" s="14" t="str">
        <x:v>Bundle/Common</x:v>
      </x:c>
      <x:c r="K58" s="14" t="str">
        <x:v>Inventory</x:v>
      </x:c>
      <x:c r="L58" s="14" t="str"/>
      <x:c r="M58" s="14" t="str"/>
      <x:c r="N58" s="14" t="str"/>
      <x:c r="O58" s="14" t="str"/>
      <x:c r="P58" s="14" t="str">
        <x:f>IF(M58="","",M58-N58-O58-L58)</x:f>
      </x:c>
      <x:c r="Q58" s="13" t="str"/>
      <x:c r="R58" s="13" t="str"/>
      <x:c r="S58" s="13" t="str"/>
      <x:c r="T58" s="13" t="str">
        <x:v>High</x:v>
      </x:c>
    </x:row>
    <x:row r="59">
      <x:c r="A59" s="13" t="str">
        <x:v>Video Game</x:v>
      </x:c>
      <x:c r="B59" s="13" t="str">
        <x:v>PS3</x:v>
      </x:c>
      <x:c r="C59" s="13" t="str">
        <x:v>Killzone 3</x:v>
      </x:c>
      <x:c r="D59" s="13" t="str"/>
      <x:c r="E59" s="14" t="n">
        <x:v>5</x:v>
      </x:c>
      <x:c r="F59" s="14" t="n">
        <x:v>10</x:v>
      </x:c>
      <x:c r="G59" s="14" t="n">
        <x:v>7.5</x:v>
      </x:c>
      <x:c r="H59" s="14" t="n">
        <x:v>3</x:v>
      </x:c>
      <x:c r="I59" s="14" t="n">
        <x:v>8</x:v>
      </x:c>
      <x:c r="J59" s="14" t="str">
        <x:v>Bundle/Common</x:v>
      </x:c>
      <x:c r="K59" s="14" t="str">
        <x:v>Inventory</x:v>
      </x:c>
      <x:c r="L59" s="14" t="str"/>
      <x:c r="M59" s="14" t="str"/>
      <x:c r="N59" s="14" t="str"/>
      <x:c r="O59" s="14" t="str"/>
      <x:c r="P59" s="14" t="str">
        <x:f>IF(M59="","",M59-N59-O59-L59)</x:f>
      </x:c>
      <x:c r="Q59" s="13" t="str"/>
      <x:c r="R59" s="13" t="str"/>
      <x:c r="S59" s="13" t="str"/>
      <x:c r="T59" s="13" t="str">
        <x:v>High</x:v>
      </x:c>
    </x:row>
    <x:row r="60">
      <x:c r="A60" s="13" t="str">
        <x:v>Video Game</x:v>
      </x:c>
      <x:c r="B60" s="13" t="str">
        <x:v>PS3</x:v>
      </x:c>
      <x:c r="C60" s="13" t="str">
        <x:v>Final Fantasy XIII</x:v>
      </x:c>
      <x:c r="D60" s="13" t="str"/>
      <x:c r="E60" s="14" t="n">
        <x:v>5</x:v>
      </x:c>
      <x:c r="F60" s="14" t="n">
        <x:v>10</x:v>
      </x:c>
      <x:c r="G60" s="14" t="n">
        <x:v>7.5</x:v>
      </x:c>
      <x:c r="H60" s="14" t="n">
        <x:v>3</x:v>
      </x:c>
      <x:c r="I60" s="14" t="n">
        <x:v>8</x:v>
      </x:c>
      <x:c r="J60" s="14" t="str">
        <x:v>Bundle/Common</x:v>
      </x:c>
      <x:c r="K60" s="14" t="str">
        <x:v>Inventory</x:v>
      </x:c>
      <x:c r="L60" s="14" t="str"/>
      <x:c r="M60" s="14" t="str"/>
      <x:c r="N60" s="14" t="str"/>
      <x:c r="O60" s="14" t="str"/>
      <x:c r="P60" s="14" t="str">
        <x:f>IF(M60="","",M60-N60-O60-L60)</x:f>
      </x:c>
      <x:c r="Q60" s="13" t="str"/>
      <x:c r="R60" s="13" t="str"/>
      <x:c r="S60" s="13" t="str"/>
      <x:c r="T60" s="13" t="str">
        <x:v>High</x:v>
      </x:c>
    </x:row>
    <x:row r="61">
      <x:c r="A61" s="13" t="str">
        <x:v>Video Game</x:v>
      </x:c>
      <x:c r="B61" s="13" t="str">
        <x:v>PS3</x:v>
      </x:c>
      <x:c r="C61" s="13" t="str">
        <x:v>Final Fantasy X/X-2 HD Remaster</x:v>
      </x:c>
      <x:c r="D61" s="13" t="str"/>
      <x:c r="E61" s="14" t="n">
        <x:v>5</x:v>
      </x:c>
      <x:c r="F61" s="14" t="n">
        <x:v>10</x:v>
      </x:c>
      <x:c r="G61" s="14" t="n">
        <x:v>7.5</x:v>
      </x:c>
      <x:c r="H61" s="14" t="n">
        <x:v>3</x:v>
      </x:c>
      <x:c r="I61" s="14" t="n">
        <x:v>8</x:v>
      </x:c>
      <x:c r="J61" s="14" t="str">
        <x:v>Bundle/Common</x:v>
      </x:c>
      <x:c r="K61" s="14" t="str">
        <x:v>Inventory</x:v>
      </x:c>
      <x:c r="L61" s="14" t="str"/>
      <x:c r="M61" s="14" t="str"/>
      <x:c r="N61" s="14" t="str"/>
      <x:c r="O61" s="14" t="str"/>
      <x:c r="P61" s="14" t="str">
        <x:f>IF(M61="","",M61-N61-O61-L61)</x:f>
      </x:c>
      <x:c r="Q61" s="13" t="str"/>
      <x:c r="R61" s="13" t="str"/>
      <x:c r="S61" s="13" t="str"/>
      <x:c r="T61" s="13" t="str">
        <x:v>High</x:v>
      </x:c>
    </x:row>
    <x:row r="62">
      <x:c r="A62" s="13" t="str">
        <x:v>Video Game</x:v>
      </x:c>
      <x:c r="B62" s="13" t="str">
        <x:v>PS3</x:v>
      </x:c>
      <x:c r="C62" s="13" t="str">
        <x:v>LittleBigPlanet</x:v>
      </x:c>
      <x:c r="D62" s="13" t="str"/>
      <x:c r="E62" s="14" t="n">
        <x:v>5</x:v>
      </x:c>
      <x:c r="F62" s="14" t="n">
        <x:v>10</x:v>
      </x:c>
      <x:c r="G62" s="14" t="n">
        <x:v>7.5</x:v>
      </x:c>
      <x:c r="H62" s="14" t="n">
        <x:v>3</x:v>
      </x:c>
      <x:c r="I62" s="14" t="n">
        <x:v>8</x:v>
      </x:c>
      <x:c r="J62" s="14" t="str">
        <x:v>Bundle/Common</x:v>
      </x:c>
      <x:c r="K62" s="14" t="str">
        <x:v>Inventory</x:v>
      </x:c>
      <x:c r="L62" s="14" t="str"/>
      <x:c r="M62" s="14" t="str"/>
      <x:c r="N62" s="14" t="str"/>
      <x:c r="O62" s="14" t="str"/>
      <x:c r="P62" s="14" t="str">
        <x:f>IF(M62="","",M62-N62-O62-L62)</x:f>
      </x:c>
      <x:c r="Q62" s="13" t="str"/>
      <x:c r="R62" s="13" t="str"/>
      <x:c r="S62" s="13" t="str"/>
      <x:c r="T62" s="13" t="str">
        <x:v>High</x:v>
      </x:c>
    </x:row>
    <x:row r="63">
      <x:c r="A63" s="13" t="str">
        <x:v>Video Game</x:v>
      </x:c>
      <x:c r="B63" s="13" t="str">
        <x:v>PS3</x:v>
      </x:c>
      <x:c r="C63" s="13" t="str">
        <x:v>Grand Theft Auto V</x:v>
      </x:c>
      <x:c r="D63" s="13" t="str"/>
      <x:c r="E63" s="14" t="n">
        <x:v>5</x:v>
      </x:c>
      <x:c r="F63" s="14" t="n">
        <x:v>10</x:v>
      </x:c>
      <x:c r="G63" s="14" t="n">
        <x:v>7.5</x:v>
      </x:c>
      <x:c r="H63" s="14" t="n">
        <x:v>3</x:v>
      </x:c>
      <x:c r="I63" s="14" t="n">
        <x:v>8</x:v>
      </x:c>
      <x:c r="J63" s="14" t="str">
        <x:v>Bundle/Common</x:v>
      </x:c>
      <x:c r="K63" s="14" t="str">
        <x:v>Inventory</x:v>
      </x:c>
      <x:c r="L63" s="14" t="str"/>
      <x:c r="M63" s="14" t="str"/>
      <x:c r="N63" s="14" t="str"/>
      <x:c r="O63" s="14" t="str"/>
      <x:c r="P63" s="14" t="str">
        <x:f>IF(M63="","",M63-N63-O63-L63)</x:f>
      </x:c>
      <x:c r="Q63" s="13" t="str"/>
      <x:c r="R63" s="13" t="str"/>
      <x:c r="S63" s="13" t="str"/>
      <x:c r="T63" s="13" t="str">
        <x:v>High</x:v>
      </x:c>
    </x:row>
    <x:row r="64">
      <x:c r="A64" s="13" t="str">
        <x:v>Video Game</x:v>
      </x:c>
      <x:c r="B64" s="13" t="str">
        <x:v>PS3</x:v>
      </x:c>
      <x:c r="C64" s="13" t="str">
        <x:v>Watch Dogs</x:v>
      </x:c>
      <x:c r="D64" s="13" t="str"/>
      <x:c r="E64" s="14" t="n">
        <x:v>5</x:v>
      </x:c>
      <x:c r="F64" s="14" t="n">
        <x:v>10</x:v>
      </x:c>
      <x:c r="G64" s="14" t="n">
        <x:v>7.5</x:v>
      </x:c>
      <x:c r="H64" s="14" t="n">
        <x:v>3</x:v>
      </x:c>
      <x:c r="I64" s="14" t="n">
        <x:v>8</x:v>
      </x:c>
      <x:c r="J64" s="14" t="str">
        <x:v>Bundle/Common</x:v>
      </x:c>
      <x:c r="K64" s="14" t="str">
        <x:v>Inventory</x:v>
      </x:c>
      <x:c r="L64" s="14" t="str"/>
      <x:c r="M64" s="14" t="str"/>
      <x:c r="N64" s="14" t="str"/>
      <x:c r="O64" s="14" t="str"/>
      <x:c r="P64" s="14" t="str">
        <x:f>IF(M64="","",M64-N64-O64-L64)</x:f>
      </x:c>
      <x:c r="Q64" s="13" t="str"/>
      <x:c r="R64" s="13" t="str"/>
      <x:c r="S64" s="13" t="str"/>
      <x:c r="T64" s="13" t="str">
        <x:v>High</x:v>
      </x:c>
    </x:row>
    <x:row r="65">
      <x:c r="A65" s="13" t="str">
        <x:v>Video Game</x:v>
      </x:c>
      <x:c r="B65" s="13" t="str">
        <x:v>PS3</x:v>
      </x:c>
      <x:c r="C65" s="13" t="str">
        <x:v>Army of Two</x:v>
      </x:c>
      <x:c r="D65" s="13" t="str"/>
      <x:c r="E65" s="14" t="n">
        <x:v>5</x:v>
      </x:c>
      <x:c r="F65" s="14" t="n">
        <x:v>10</x:v>
      </x:c>
      <x:c r="G65" s="14" t="n">
        <x:v>7.5</x:v>
      </x:c>
      <x:c r="H65" s="14" t="n">
        <x:v>3</x:v>
      </x:c>
      <x:c r="I65" s="14" t="n">
        <x:v>8</x:v>
      </x:c>
      <x:c r="J65" s="14" t="str">
        <x:v>Bundle/Common</x:v>
      </x:c>
      <x:c r="K65" s="14" t="str">
        <x:v>Inventory</x:v>
      </x:c>
      <x:c r="L65" s="14" t="str"/>
      <x:c r="M65" s="14" t="str"/>
      <x:c r="N65" s="14" t="str"/>
      <x:c r="O65" s="14" t="str"/>
      <x:c r="P65" s="14" t="str">
        <x:f>IF(M65="","",M65-N65-O65-L65)</x:f>
      </x:c>
      <x:c r="Q65" s="13" t="str"/>
      <x:c r="R65" s="13" t="str"/>
      <x:c r="S65" s="13" t="str"/>
      <x:c r="T65" s="13" t="str">
        <x:v>High</x:v>
      </x:c>
    </x:row>
    <x:row r="66">
      <x:c r="A66" s="13" t="str">
        <x:v>Video Game</x:v>
      </x:c>
      <x:c r="B66" s="13" t="str">
        <x:v>PS3</x:v>
      </x:c>
      <x:c r="C66" s="13" t="str">
        <x:v>BioShock Infinite</x:v>
      </x:c>
      <x:c r="D66" s="13" t="str"/>
      <x:c r="E66" s="14" t="n">
        <x:v>5</x:v>
      </x:c>
      <x:c r="F66" s="14" t="n">
        <x:v>10</x:v>
      </x:c>
      <x:c r="G66" s="14" t="n">
        <x:v>7.5</x:v>
      </x:c>
      <x:c r="H66" s="14" t="n">
        <x:v>3</x:v>
      </x:c>
      <x:c r="I66" s="14" t="n">
        <x:v>8</x:v>
      </x:c>
      <x:c r="J66" s="14" t="str">
        <x:v>Bundle/Common</x:v>
      </x:c>
      <x:c r="K66" s="14" t="str">
        <x:v>Inventory</x:v>
      </x:c>
      <x:c r="L66" s="14" t="str"/>
      <x:c r="M66" s="14" t="str"/>
      <x:c r="N66" s="14" t="str"/>
      <x:c r="O66" s="14" t="str"/>
      <x:c r="P66" s="14" t="str">
        <x:f>IF(M66="","",M66-N66-O66-L66)</x:f>
      </x:c>
      <x:c r="Q66" s="13" t="str"/>
      <x:c r="R66" s="13" t="str"/>
      <x:c r="S66" s="13" t="str"/>
      <x:c r="T66" s="13" t="str">
        <x:v>High</x:v>
      </x:c>
    </x:row>
    <x:row r="67">
      <x:c r="A67" s="13" t="str">
        <x:v>Video Game</x:v>
      </x:c>
      <x:c r="B67" s="13" t="str">
        <x:v>PS3</x:v>
      </x:c>
      <x:c r="C67" s="13" t="str">
        <x:v>Call of Duty: Modern Warfare 3</x:v>
      </x:c>
      <x:c r="D67" s="13" t="str"/>
      <x:c r="E67" s="14" t="n">
        <x:v>5</x:v>
      </x:c>
      <x:c r="F67" s="14" t="n">
        <x:v>10</x:v>
      </x:c>
      <x:c r="G67" s="14" t="n">
        <x:v>7.5</x:v>
      </x:c>
      <x:c r="H67" s="14" t="n">
        <x:v>3</x:v>
      </x:c>
      <x:c r="I67" s="14" t="n">
        <x:v>8</x:v>
      </x:c>
      <x:c r="J67" s="14" t="str">
        <x:v>Bundle/Common</x:v>
      </x:c>
      <x:c r="K67" s="14" t="str">
        <x:v>Inventory</x:v>
      </x:c>
      <x:c r="L67" s="14" t="str"/>
      <x:c r="M67" s="14" t="str"/>
      <x:c r="N67" s="14" t="str"/>
      <x:c r="O67" s="14" t="str"/>
      <x:c r="P67" s="14" t="str">
        <x:f>IF(M67="","",M67-N67-O67-L67)</x:f>
      </x:c>
      <x:c r="Q67" s="13" t="str"/>
      <x:c r="R67" s="13" t="str"/>
      <x:c r="S67" s="13" t="str"/>
      <x:c r="T67" s="13" t="str">
        <x:v>High</x:v>
      </x:c>
    </x:row>
    <x:row r="68">
      <x:c r="A68" s="13" t="str">
        <x:v>Video Game</x:v>
      </x:c>
      <x:c r="B68" s="13" t="str">
        <x:v>PS3</x:v>
      </x:c>
      <x:c r="C68" s="13" t="str">
        <x:v>Madden NFL 25</x:v>
      </x:c>
      <x:c r="D68" s="13" t="str"/>
      <x:c r="E68" s="14" t="n">
        <x:v>3</x:v>
      </x:c>
      <x:c r="F68" s="14" t="n">
        <x:v>8</x:v>
      </x:c>
      <x:c r="G68" s="14" t="n">
        <x:v>5.5</x:v>
      </x:c>
      <x:c r="H68" s="14" t="n">
        <x:v>2</x:v>
      </x:c>
      <x:c r="I68" s="14" t="n">
        <x:v>6</x:v>
      </x:c>
      <x:c r="J68" s="14" t="str">
        <x:v>Bundle/Common</x:v>
      </x:c>
      <x:c r="K68" s="14" t="str">
        <x:v>Inventory</x:v>
      </x:c>
      <x:c r="L68" s="14" t="str"/>
      <x:c r="M68" s="14" t="str"/>
      <x:c r="N68" s="14" t="str"/>
      <x:c r="O68" s="14" t="str"/>
      <x:c r="P68" s="14" t="str">
        <x:f>IF(M68="","",M68-N68-O68-L68)</x:f>
      </x:c>
      <x:c r="Q68" s="13" t="str"/>
      <x:c r="R68" s="13" t="str"/>
      <x:c r="S68" s="13" t="str"/>
      <x:c r="T68" s="13" t="str">
        <x:v>High</x:v>
      </x:c>
    </x:row>
    <x:row r="69">
      <x:c r="A69" s="13" t="str">
        <x:v>Video Game</x:v>
      </x:c>
      <x:c r="B69" s="13" t="str">
        <x:v>PS3</x:v>
      </x:c>
      <x:c r="C69" s="13" t="str">
        <x:v>White Knight Chronicles II</x:v>
      </x:c>
      <x:c r="D69" s="13" t="str"/>
      <x:c r="E69" s="14" t="n">
        <x:v>35</x:v>
      </x:c>
      <x:c r="F69" s="14" t="n">
        <x:v>60</x:v>
      </x:c>
      <x:c r="G69" s="14" t="n">
        <x:v>47.5</x:v>
      </x:c>
      <x:c r="H69" s="14" t="n">
        <x:v>23</x:v>
      </x:c>
      <x:c r="I69" s="14" t="n">
        <x:v>45</x:v>
      </x:c>
      <x:c r="J69" s="14" t="str">
        <x:v>Flip First</x:v>
      </x:c>
      <x:c r="K69" s="14" t="str">
        <x:v>Inventory</x:v>
      </x:c>
      <x:c r="L69" s="14" t="str"/>
      <x:c r="M69" s="14" t="str"/>
      <x:c r="N69" s="14" t="str"/>
      <x:c r="O69" s="14" t="str"/>
      <x:c r="P69" s="14" t="str">
        <x:f>IF(M69="","",M69-N69-O69-L69)</x:f>
      </x:c>
      <x:c r="Q69" s="13" t="str"/>
      <x:c r="R69" s="13" t="str"/>
      <x:c r="S69" s="13" t="str">
        <x:v>Only if the case is White Knight Chronicles II; verify exact title.</x:v>
      </x:c>
      <x:c r="T69" s="13" t="str">
        <x:v>Low</x:v>
      </x:c>
    </x:row>
    <x:row r="70">
      <x:c r="A70" s="13" t="str">
        <x:v>Video Game</x:v>
      </x:c>
      <x:c r="B70" s="13" t="str">
        <x:v>PS4</x:v>
      </x:c>
      <x:c r="C70" s="13" t="str">
        <x:v>Pocky &amp; Rocky Reshrined</x:v>
      </x:c>
      <x:c r="D70" s="13" t="str"/>
      <x:c r="E70" s="14" t="n">
        <x:v>30</x:v>
      </x:c>
      <x:c r="F70" s="14" t="n">
        <x:v>50</x:v>
      </x:c>
      <x:c r="G70" s="14" t="n">
        <x:v>40</x:v>
      </x:c>
      <x:c r="H70" s="14" t="n">
        <x:v>20</x:v>
      </x:c>
      <x:c r="I70" s="14" t="n">
        <x:v>38</x:v>
      </x:c>
      <x:c r="J70" s="14" t="str">
        <x:v>Flip First</x:v>
      </x:c>
      <x:c r="K70" s="14" t="str">
        <x:v>Inventory</x:v>
      </x:c>
      <x:c r="L70" s="14" t="str"/>
      <x:c r="M70" s="14" t="str"/>
      <x:c r="N70" s="14" t="str"/>
      <x:c r="O70" s="14" t="str"/>
      <x:c r="P70" s="14" t="str">
        <x:f>IF(M70="","",M70-N70-O70-L70)</x:f>
      </x:c>
      <x:c r="Q70" s="13" t="str"/>
      <x:c r="R70" s="13" t="str"/>
      <x:c r="S70" s="13" t="str"/>
      <x:c r="T70" s="13" t="str">
        <x:v>High</x:v>
      </x:c>
    </x:row>
    <x:row r="71">
      <x:c r="A71" s="13" t="str">
        <x:v>Video Game</x:v>
      </x:c>
      <x:c r="B71" s="13" t="str">
        <x:v>PS4</x:v>
      </x:c>
      <x:c r="C71" s="13" t="str">
        <x:v>7 Days to Die</x:v>
      </x:c>
      <x:c r="D71" s="13" t="str"/>
      <x:c r="E71" s="14" t="n">
        <x:v>20</x:v>
      </x:c>
      <x:c r="F71" s="14" t="n">
        <x:v>35</x:v>
      </x:c>
      <x:c r="G71" s="14" t="n">
        <x:v>27.5</x:v>
      </x:c>
      <x:c r="H71" s="14" t="n">
        <x:v>13</x:v>
      </x:c>
      <x:c r="I71" s="14" t="n">
        <x:v>26</x:v>
      </x:c>
      <x:c r="J71" s="14" t="str">
        <x:v>Flip First</x:v>
      </x:c>
      <x:c r="K71" s="14" t="str">
        <x:v>Inventory</x:v>
      </x:c>
      <x:c r="L71" s="14" t="str"/>
      <x:c r="M71" s="14" t="str"/>
      <x:c r="N71" s="14" t="str"/>
      <x:c r="O71" s="14" t="str"/>
      <x:c r="P71" s="14" t="str">
        <x:f>IF(M71="","",M71-N71-O71-L71)</x:f>
      </x:c>
      <x:c r="Q71" s="13" t="str"/>
      <x:c r="R71" s="13" t="str"/>
      <x:c r="S71" s="13" t="str"/>
      <x:c r="T71" s="13" t="str">
        <x:v>High</x:v>
      </x:c>
    </x:row>
    <x:row r="72">
      <x:c r="A72" s="13" t="str">
        <x:v>Video Game</x:v>
      </x:c>
      <x:c r="B72" s="13" t="str">
        <x:v>PS4</x:v>
      </x:c>
      <x:c r="C72" s="13" t="str">
        <x:v>Tony Hawk's Pro Skater 1 + 2</x:v>
      </x:c>
      <x:c r="D72" s="13" t="str"/>
      <x:c r="E72" s="14" t="n">
        <x:v>20</x:v>
      </x:c>
      <x:c r="F72" s="14" t="n">
        <x:v>30</x:v>
      </x:c>
      <x:c r="G72" s="14" t="n">
        <x:v>25</x:v>
      </x:c>
      <x:c r="H72" s="14" t="n">
        <x:v>13</x:v>
      </x:c>
      <x:c r="I72" s="14" t="n">
        <x:v>22</x:v>
      </x:c>
      <x:c r="J72" s="14" t="str">
        <x:v>Flip First</x:v>
      </x:c>
      <x:c r="K72" s="14" t="str">
        <x:v>Inventory</x:v>
      </x:c>
      <x:c r="L72" s="14" t="str"/>
      <x:c r="M72" s="14" t="str"/>
      <x:c r="N72" s="14" t="str"/>
      <x:c r="O72" s="14" t="str"/>
      <x:c r="P72" s="14" t="str">
        <x:f>IF(M72="","",M72-N72-O72-L72)</x:f>
      </x:c>
      <x:c r="Q72" s="13" t="str"/>
      <x:c r="R72" s="13" t="str"/>
      <x:c r="S72" s="13" t="str"/>
      <x:c r="T72" s="13" t="str">
        <x:v>High</x:v>
      </x:c>
    </x:row>
    <x:row r="73">
      <x:c r="A73" s="13" t="str">
        <x:v>Video Game</x:v>
      </x:c>
      <x:c r="B73" s="13" t="str">
        <x:v>PS4</x:v>
      </x:c>
      <x:c r="C73" s="13" t="str">
        <x:v>It Takes Two</x:v>
      </x:c>
      <x:c r="D73" s="13" t="str"/>
      <x:c r="E73" s="14" t="n">
        <x:v>20</x:v>
      </x:c>
      <x:c r="F73" s="14" t="n">
        <x:v>30</x:v>
      </x:c>
      <x:c r="G73" s="14" t="n">
        <x:v>25</x:v>
      </x:c>
      <x:c r="H73" s="14" t="n">
        <x:v>13</x:v>
      </x:c>
      <x:c r="I73" s="14" t="n">
        <x:v>22</x:v>
      </x:c>
      <x:c r="J73" s="14" t="str">
        <x:v>Flip First</x:v>
      </x:c>
      <x:c r="K73" s="14" t="str">
        <x:v>Inventory</x:v>
      </x:c>
      <x:c r="L73" s="14" t="str"/>
      <x:c r="M73" s="14" t="str"/>
      <x:c r="N73" s="14" t="str"/>
      <x:c r="O73" s="14" t="str"/>
      <x:c r="P73" s="14" t="str">
        <x:f>IF(M73="","",M73-N73-O73-L73)</x:f>
      </x:c>
      <x:c r="Q73" s="13" t="str"/>
      <x:c r="R73" s="13" t="str"/>
      <x:c r="S73" s="13" t="str"/>
      <x:c r="T73" s="13" t="str">
        <x:v>High</x:v>
      </x:c>
    </x:row>
    <x:row r="74">
      <x:c r="A74" s="13" t="str">
        <x:v>Video Game</x:v>
      </x:c>
      <x:c r="B74" s="13" t="str">
        <x:v>PS4</x:v>
      </x:c>
      <x:c r="C74" s="13" t="str">
        <x:v>Minecraft: PlayStation 4 Edition</x:v>
      </x:c>
      <x:c r="D74" s="13" t="str"/>
      <x:c r="E74" s="14" t="n">
        <x:v>20</x:v>
      </x:c>
      <x:c r="F74" s="14" t="n">
        <x:v>30</x:v>
      </x:c>
      <x:c r="G74" s="14" t="n">
        <x:v>25</x:v>
      </x:c>
      <x:c r="H74" s="14" t="n">
        <x:v>13</x:v>
      </x:c>
      <x:c r="I74" s="14" t="n">
        <x:v>22</x:v>
      </x:c>
      <x:c r="J74" s="14" t="str">
        <x:v>Flip First</x:v>
      </x:c>
      <x:c r="K74" s="14" t="str">
        <x:v>Inventory</x:v>
      </x:c>
      <x:c r="L74" s="14" t="str"/>
      <x:c r="M74" s="14" t="str"/>
      <x:c r="N74" s="14" t="str"/>
      <x:c r="O74" s="14" t="str"/>
      <x:c r="P74" s="14" t="str">
        <x:f>IF(M74="","",M74-N74-O74-L74)</x:f>
      </x:c>
      <x:c r="Q74" s="13" t="str"/>
      <x:c r="R74" s="13" t="str"/>
      <x:c r="S74" s="13" t="str"/>
      <x:c r="T74" s="13" t="str">
        <x:v>High</x:v>
      </x:c>
    </x:row>
    <x:row r="75">
      <x:c r="A75" s="13" t="str">
        <x:v>Video Game</x:v>
      </x:c>
      <x:c r="B75" s="13" t="str">
        <x:v>PS4</x:v>
      </x:c>
      <x:c r="C75" s="13" t="str">
        <x:v>The Last of Us Part II</x:v>
      </x:c>
      <x:c r="D75" s="13" t="str"/>
      <x:c r="E75" s="14" t="n">
        <x:v>20</x:v>
      </x:c>
      <x:c r="F75" s="14" t="n">
        <x:v>30</x:v>
      </x:c>
      <x:c r="G75" s="14" t="n">
        <x:v>25</x:v>
      </x:c>
      <x:c r="H75" s="14" t="n">
        <x:v>13</x:v>
      </x:c>
      <x:c r="I75" s="14" t="n">
        <x:v>22</x:v>
      </x:c>
      <x:c r="J75" s="14" t="str">
        <x:v>Flip First</x:v>
      </x:c>
      <x:c r="K75" s="14" t="str">
        <x:v>Inventory</x:v>
      </x:c>
      <x:c r="L75" s="14" t="str"/>
      <x:c r="M75" s="14" t="str"/>
      <x:c r="N75" s="14" t="str"/>
      <x:c r="O75" s="14" t="str"/>
      <x:c r="P75" s="14" t="str">
        <x:f>IF(M75="","",M75-N75-O75-L75)</x:f>
      </x:c>
      <x:c r="Q75" s="13" t="str"/>
      <x:c r="R75" s="13" t="str"/>
      <x:c r="S75" s="13" t="str"/>
      <x:c r="T75" s="13" t="str">
        <x:v>High</x:v>
      </x:c>
    </x:row>
    <x:row r="76">
      <x:c r="A76" s="13" t="str">
        <x:v>Video Game</x:v>
      </x:c>
      <x:c r="B76" s="13" t="str">
        <x:v>PS4</x:v>
      </x:c>
      <x:c r="C76" s="13" t="str">
        <x:v>Spyro Reignited Trilogy</x:v>
      </x:c>
      <x:c r="D76" s="13" t="str"/>
      <x:c r="E76" s="14" t="n">
        <x:v>20</x:v>
      </x:c>
      <x:c r="F76" s="14" t="n">
        <x:v>25</x:v>
      </x:c>
      <x:c r="G76" s="14" t="n">
        <x:v>22.5</x:v>
      </x:c>
      <x:c r="H76" s="14" t="n">
        <x:v>13</x:v>
      </x:c>
      <x:c r="I76" s="14" t="n">
        <x:v>19</x:v>
      </x:c>
      <x:c r="J76" s="14" t="str">
        <x:v>Flip First</x:v>
      </x:c>
      <x:c r="K76" s="14" t="str">
        <x:v>Inventory</x:v>
      </x:c>
      <x:c r="L76" s="14" t="str"/>
      <x:c r="M76" s="14" t="str"/>
      <x:c r="N76" s="14" t="str"/>
      <x:c r="O76" s="14" t="str"/>
      <x:c r="P76" s="14" t="str">
        <x:f>IF(M76="","",M76-N76-O76-L76)</x:f>
      </x:c>
      <x:c r="Q76" s="13" t="str"/>
      <x:c r="R76" s="13" t="str"/>
      <x:c r="S76" s="13" t="str"/>
      <x:c r="T76" s="13" t="str">
        <x:v>High</x:v>
      </x:c>
    </x:row>
    <x:row r="77">
      <x:c r="A77" s="13" t="str">
        <x:v>Video Game</x:v>
      </x:c>
      <x:c r="B77" s="13" t="str">
        <x:v>PS4</x:v>
      </x:c>
      <x:c r="C77" s="13" t="str">
        <x:v>Wolfenstein: The Old Blood</x:v>
      </x:c>
      <x:c r="D77" s="13" t="str"/>
      <x:c r="E77" s="14" t="n">
        <x:v>20</x:v>
      </x:c>
      <x:c r="F77" s="14" t="n">
        <x:v>30</x:v>
      </x:c>
      <x:c r="G77" s="14" t="n">
        <x:v>25</x:v>
      </x:c>
      <x:c r="H77" s="14" t="n">
        <x:v>13</x:v>
      </x:c>
      <x:c r="I77" s="14" t="n">
        <x:v>22</x:v>
      </x:c>
      <x:c r="J77" s="14" t="str">
        <x:v>Flip First</x:v>
      </x:c>
      <x:c r="K77" s="14" t="str">
        <x:v>Inventory</x:v>
      </x:c>
      <x:c r="L77" s="14" t="str"/>
      <x:c r="M77" s="14" t="str"/>
      <x:c r="N77" s="14" t="str"/>
      <x:c r="O77" s="14" t="str"/>
      <x:c r="P77" s="14" t="str">
        <x:f>IF(M77="","",M77-N77-O77-L77)</x:f>
      </x:c>
      <x:c r="Q77" s="13" t="str"/>
      <x:c r="R77" s="13" t="str"/>
      <x:c r="S77" s="13" t="str"/>
      <x:c r="T77" s="13" t="str">
        <x:v>High</x:v>
      </x:c>
    </x:row>
    <x:row r="78">
      <x:c r="A78" s="13" t="str">
        <x:v>Video Game</x:v>
      </x:c>
      <x:c r="B78" s="13" t="str">
        <x:v>PS4</x:v>
      </x:c>
      <x:c r="C78" s="13" t="str">
        <x:v>The Forest</x:v>
      </x:c>
      <x:c r="D78" s="13" t="str"/>
      <x:c r="E78" s="14" t="n">
        <x:v>25</x:v>
      </x:c>
      <x:c r="F78" s="14" t="n">
        <x:v>40</x:v>
      </x:c>
      <x:c r="G78" s="14" t="n">
        <x:v>32.5</x:v>
      </x:c>
      <x:c r="H78" s="14" t="n">
        <x:v>16</x:v>
      </x:c>
      <x:c r="I78" s="14" t="n">
        <x:v>30</x:v>
      </x:c>
      <x:c r="J78" s="14" t="str">
        <x:v>Flip First</x:v>
      </x:c>
      <x:c r="K78" s="14" t="str">
        <x:v>Inventory</x:v>
      </x:c>
      <x:c r="L78" s="14" t="str"/>
      <x:c r="M78" s="14" t="str"/>
      <x:c r="N78" s="14" t="str"/>
      <x:c r="O78" s="14" t="str"/>
      <x:c r="P78" s="14" t="str">
        <x:f>IF(M78="","",M78-N78-O78-L78)</x:f>
      </x:c>
      <x:c r="Q78" s="13" t="str"/>
      <x:c r="R78" s="13" t="str"/>
      <x:c r="S78" s="13" t="str">
        <x:v>Seen in background; verify exact title.</x:v>
      </x:c>
      <x:c r="T78" s="13" t="str">
        <x:v>Medium</x:v>
      </x:c>
    </x:row>
    <x:row r="79">
      <x:c r="A79" s="13" t="str">
        <x:v>Video Game</x:v>
      </x:c>
      <x:c r="B79" s="13" t="str">
        <x:v>PS4</x:v>
      </x:c>
      <x:c r="C79" s="13" t="str">
        <x:v>Dying Light</x:v>
      </x:c>
      <x:c r="D79" s="13" t="str"/>
      <x:c r="E79" s="14" t="n">
        <x:v>15</x:v>
      </x:c>
      <x:c r="F79" s="14" t="n">
        <x:v>25</x:v>
      </x:c>
      <x:c r="G79" s="14" t="n">
        <x:v>20</x:v>
      </x:c>
      <x:c r="H79" s="14" t="n">
        <x:v>10</x:v>
      </x:c>
      <x:c r="I79" s="14" t="n">
        <x:v>19</x:v>
      </x:c>
      <x:c r="J79" s="14" t="str">
        <x:v>Flip First</x:v>
      </x:c>
      <x:c r="K79" s="14" t="str">
        <x:v>Inventory</x:v>
      </x:c>
      <x:c r="L79" s="14" t="str"/>
      <x:c r="M79" s="14" t="str"/>
      <x:c r="N79" s="14" t="str"/>
      <x:c r="O79" s="14" t="str"/>
      <x:c r="P79" s="14" t="str">
        <x:f>IF(M79="","",M79-N79-O79-L79)</x:f>
      </x:c>
      <x:c r="Q79" s="13" t="str"/>
      <x:c r="R79" s="13" t="str"/>
      <x:c r="S79" s="13" t="str"/>
      <x:c r="T79" s="13" t="str">
        <x:v>High</x:v>
      </x:c>
    </x:row>
    <x:row r="80">
      <x:c r="A80" s="13" t="str">
        <x:v>Video Game</x:v>
      </x:c>
      <x:c r="B80" s="13" t="str">
        <x:v>PS4</x:v>
      </x:c>
      <x:c r="C80" s="13" t="str">
        <x:v>The Witcher 3: Wild Hunt Complete Edition</x:v>
      </x:c>
      <x:c r="D80" s="13" t="str"/>
      <x:c r="E80" s="14" t="n">
        <x:v>15</x:v>
      </x:c>
      <x:c r="F80" s="14" t="n">
        <x:v>25</x:v>
      </x:c>
      <x:c r="G80" s="14" t="n">
        <x:v>20</x:v>
      </x:c>
      <x:c r="H80" s="14" t="n">
        <x:v>10</x:v>
      </x:c>
      <x:c r="I80" s="14" t="n">
        <x:v>19</x:v>
      </x:c>
      <x:c r="J80" s="14" t="str">
        <x:v>Flip First</x:v>
      </x:c>
      <x:c r="K80" s="14" t="str">
        <x:v>Inventory</x:v>
      </x:c>
      <x:c r="L80" s="14" t="str"/>
      <x:c r="M80" s="14" t="str"/>
      <x:c r="N80" s="14" t="str"/>
      <x:c r="O80" s="14" t="str"/>
      <x:c r="P80" s="14" t="str">
        <x:f>IF(M80="","",M80-N80-O80-L80)</x:f>
      </x:c>
      <x:c r="Q80" s="13" t="str"/>
      <x:c r="R80" s="13" t="str"/>
      <x:c r="S80" s="13" t="str"/>
      <x:c r="T80" s="13" t="str">
        <x:v>High</x:v>
      </x:c>
    </x:row>
    <x:row r="81">
      <x:c r="A81" s="13" t="str">
        <x:v>Video Game</x:v>
      </x:c>
      <x:c r="B81" s="13" t="str">
        <x:v>PS4</x:v>
      </x:c>
      <x:c r="C81" s="13" t="str">
        <x:v>The Elder Scrolls V: Skyrim VR</x:v>
      </x:c>
      <x:c r="D81" s="13" t="str"/>
      <x:c r="E81" s="14" t="n">
        <x:v>15</x:v>
      </x:c>
      <x:c r="F81" s="14" t="n">
        <x:v>25</x:v>
      </x:c>
      <x:c r="G81" s="14" t="n">
        <x:v>20</x:v>
      </x:c>
      <x:c r="H81" s="14" t="n">
        <x:v>10</x:v>
      </x:c>
      <x:c r="I81" s="14" t="n">
        <x:v>19</x:v>
      </x:c>
      <x:c r="J81" s="14" t="str">
        <x:v>Flip First</x:v>
      </x:c>
      <x:c r="K81" s="14" t="str">
        <x:v>Inventory</x:v>
      </x:c>
      <x:c r="L81" s="14" t="str"/>
      <x:c r="M81" s="14" t="str"/>
      <x:c r="N81" s="14" t="str"/>
      <x:c r="O81" s="14" t="str"/>
      <x:c r="P81" s="14" t="str">
        <x:f>IF(M81="","",M81-N81-O81-L81)</x:f>
      </x:c>
      <x:c r="Q81" s="13" t="str"/>
      <x:c r="R81" s="13" t="str"/>
      <x:c r="S81" s="13" t="str"/>
      <x:c r="T81" s="13" t="str">
        <x:v>High</x:v>
      </x:c>
    </x:row>
    <x:row r="82">
      <x:c r="A82" s="13" t="str">
        <x:v>Video Game</x:v>
      </x:c>
      <x:c r="B82" s="13" t="str">
        <x:v>PS4</x:v>
      </x:c>
      <x:c r="C82" s="13" t="str">
        <x:v>Marvel's Spider-Man</x:v>
      </x:c>
      <x:c r="D82" s="13" t="str"/>
      <x:c r="E82" s="14" t="n">
        <x:v>15</x:v>
      </x:c>
      <x:c r="F82" s="14" t="n">
        <x:v>25</x:v>
      </x:c>
      <x:c r="G82" s="14" t="n">
        <x:v>20</x:v>
      </x:c>
      <x:c r="H82" s="14" t="n">
        <x:v>10</x:v>
      </x:c>
      <x:c r="I82" s="14" t="n">
        <x:v>19</x:v>
      </x:c>
      <x:c r="J82" s="14" t="str">
        <x:v>Flip First</x:v>
      </x:c>
      <x:c r="K82" s="14" t="str">
        <x:v>Inventory</x:v>
      </x:c>
      <x:c r="L82" s="14" t="str"/>
      <x:c r="M82" s="14" t="str"/>
      <x:c r="N82" s="14" t="str"/>
      <x:c r="O82" s="14" t="str"/>
      <x:c r="P82" s="14" t="str">
        <x:f>IF(M82="","",M82-N82-O82-L82)</x:f>
      </x:c>
      <x:c r="Q82" s="13" t="str"/>
      <x:c r="R82" s="13" t="str"/>
      <x:c r="S82" s="13" t="str"/>
      <x:c r="T82" s="13" t="str">
        <x:v>High</x:v>
      </x:c>
    </x:row>
    <x:row r="83">
      <x:c r="A83" s="13" t="str">
        <x:v>Video Game</x:v>
      </x:c>
      <x:c r="B83" s="13" t="str">
        <x:v>PS4</x:v>
      </x:c>
      <x:c r="C83" s="13" t="str">
        <x:v>Titanfall 2</x:v>
      </x:c>
      <x:c r="D83" s="13" t="str"/>
      <x:c r="E83" s="14" t="n">
        <x:v>15</x:v>
      </x:c>
      <x:c r="F83" s="14" t="n">
        <x:v>25</x:v>
      </x:c>
      <x:c r="G83" s="14" t="n">
        <x:v>20</x:v>
      </x:c>
      <x:c r="H83" s="14" t="n">
        <x:v>10</x:v>
      </x:c>
      <x:c r="I83" s="14" t="n">
        <x:v>19</x:v>
      </x:c>
      <x:c r="J83" s="14" t="str">
        <x:v>Flip First</x:v>
      </x:c>
      <x:c r="K83" s="14" t="str">
        <x:v>Inventory</x:v>
      </x:c>
      <x:c r="L83" s="14" t="str"/>
      <x:c r="M83" s="14" t="str"/>
      <x:c r="N83" s="14" t="str"/>
      <x:c r="O83" s="14" t="str"/>
      <x:c r="P83" s="14" t="str">
        <x:f>IF(M83="","",M83-N83-O83-L83)</x:f>
      </x:c>
      <x:c r="Q83" s="13" t="str"/>
      <x:c r="R83" s="13" t="str"/>
      <x:c r="S83" s="13" t="str"/>
      <x:c r="T83" s="13" t="str">
        <x:v>High</x:v>
      </x:c>
    </x:row>
    <x:row r="84">
      <x:c r="A84" s="13" t="str">
        <x:v>Video Game</x:v>
      </x:c>
      <x:c r="B84" s="13" t="str">
        <x:v>PS4</x:v>
      </x:c>
      <x:c r="C84" s="13" t="str">
        <x:v>Guilty Gear Xrd Revelator</x:v>
      </x:c>
      <x:c r="D84" s="13" t="str"/>
      <x:c r="E84" s="14" t="n">
        <x:v>15</x:v>
      </x:c>
      <x:c r="F84" s="14" t="n">
        <x:v>25</x:v>
      </x:c>
      <x:c r="G84" s="14" t="n">
        <x:v>20</x:v>
      </x:c>
      <x:c r="H84" s="14" t="n">
        <x:v>10</x:v>
      </x:c>
      <x:c r="I84" s="14" t="n">
        <x:v>19</x:v>
      </x:c>
      <x:c r="J84" s="14" t="str">
        <x:v>Flip First</x:v>
      </x:c>
      <x:c r="K84" s="14" t="str">
        <x:v>Inventory</x:v>
      </x:c>
      <x:c r="L84" s="14" t="str"/>
      <x:c r="M84" s="14" t="str"/>
      <x:c r="N84" s="14" t="str"/>
      <x:c r="O84" s="14" t="str"/>
      <x:c r="P84" s="14" t="str">
        <x:f>IF(M84="","",M84-N84-O84-L84)</x:f>
      </x:c>
      <x:c r="Q84" s="13" t="str"/>
      <x:c r="R84" s="13" t="str"/>
      <x:c r="S84" s="13" t="str"/>
      <x:c r="T84" s="13" t="str">
        <x:v>High</x:v>
      </x:c>
    </x:row>
    <x:row r="85">
      <x:c r="A85" s="13" t="str">
        <x:v>Video Game</x:v>
      </x:c>
      <x:c r="B85" s="13" t="str">
        <x:v>PS4</x:v>
      </x:c>
      <x:c r="C85" s="13" t="str">
        <x:v>Scarlet Nexus</x:v>
      </x:c>
      <x:c r="D85" s="13" t="str"/>
      <x:c r="E85" s="14" t="n">
        <x:v>15</x:v>
      </x:c>
      <x:c r="F85" s="14" t="n">
        <x:v>25</x:v>
      </x:c>
      <x:c r="G85" s="14" t="n">
        <x:v>20</x:v>
      </x:c>
      <x:c r="H85" s="14" t="n">
        <x:v>10</x:v>
      </x:c>
      <x:c r="I85" s="14" t="n">
        <x:v>19</x:v>
      </x:c>
      <x:c r="J85" s="14" t="str">
        <x:v>Flip First</x:v>
      </x:c>
      <x:c r="K85" s="14" t="str">
        <x:v>Inventory</x:v>
      </x:c>
      <x:c r="L85" s="14" t="str"/>
      <x:c r="M85" s="14" t="str"/>
      <x:c r="N85" s="14" t="str"/>
      <x:c r="O85" s="14" t="str"/>
      <x:c r="P85" s="14" t="str">
        <x:f>IF(M85="","",M85-N85-O85-L85)</x:f>
      </x:c>
      <x:c r="Q85" s="13" t="str"/>
      <x:c r="R85" s="13" t="str"/>
      <x:c r="S85" s="13" t="str"/>
      <x:c r="T85" s="13" t="str">
        <x:v>High</x:v>
      </x:c>
    </x:row>
    <x:row r="86">
      <x:c r="A86" s="13" t="str">
        <x:v>Video Game</x:v>
      </x:c>
      <x:c r="B86" s="13" t="str">
        <x:v>PS4</x:v>
      </x:c>
      <x:c r="C86" s="13" t="str">
        <x:v>Shadow of the Tomb Raider</x:v>
      </x:c>
      <x:c r="D86" s="13" t="str"/>
      <x:c r="E86" s="14" t="n">
        <x:v>15</x:v>
      </x:c>
      <x:c r="F86" s="14" t="n">
        <x:v>25</x:v>
      </x:c>
      <x:c r="G86" s="14" t="n">
        <x:v>20</x:v>
      </x:c>
      <x:c r="H86" s="14" t="n">
        <x:v>10</x:v>
      </x:c>
      <x:c r="I86" s="14" t="n">
        <x:v>19</x:v>
      </x:c>
      <x:c r="J86" s="14" t="str">
        <x:v>Flip First</x:v>
      </x:c>
      <x:c r="K86" s="14" t="str">
        <x:v>Inventory</x:v>
      </x:c>
      <x:c r="L86" s="14" t="str"/>
      <x:c r="M86" s="14" t="str"/>
      <x:c r="N86" s="14" t="str"/>
      <x:c r="O86" s="14" t="str"/>
      <x:c r="P86" s="14" t="str">
        <x:f>IF(M86="","",M86-N86-O86-L86)</x:f>
      </x:c>
      <x:c r="Q86" s="13" t="str"/>
      <x:c r="R86" s="13" t="str"/>
      <x:c r="S86" s="13" t="str"/>
      <x:c r="T86" s="13" t="str">
        <x:v>High</x:v>
      </x:c>
    </x:row>
    <x:row r="87">
      <x:c r="A87" s="13" t="str">
        <x:v>Video Game</x:v>
      </x:c>
      <x:c r="B87" s="13" t="str">
        <x:v>PS4</x:v>
      </x:c>
      <x:c r="C87" s="13" t="str">
        <x:v>Kingdom Hearts III</x:v>
      </x:c>
      <x:c r="D87" s="13" t="str"/>
      <x:c r="E87" s="14" t="n">
        <x:v>15</x:v>
      </x:c>
      <x:c r="F87" s="14" t="n">
        <x:v>25</x:v>
      </x:c>
      <x:c r="G87" s="14" t="n">
        <x:v>20</x:v>
      </x:c>
      <x:c r="H87" s="14" t="n">
        <x:v>10</x:v>
      </x:c>
      <x:c r="I87" s="14" t="n">
        <x:v>19</x:v>
      </x:c>
      <x:c r="J87" s="14" t="str">
        <x:v>Flip First</x:v>
      </x:c>
      <x:c r="K87" s="14" t="str">
        <x:v>Inventory</x:v>
      </x:c>
      <x:c r="L87" s="14" t="str"/>
      <x:c r="M87" s="14" t="str"/>
      <x:c r="N87" s="14" t="str"/>
      <x:c r="O87" s="14" t="str"/>
      <x:c r="P87" s="14" t="str">
        <x:f>IF(M87="","",M87-N87-O87-L87)</x:f>
      </x:c>
      <x:c r="Q87" s="13" t="str"/>
      <x:c r="R87" s="13" t="str"/>
      <x:c r="S87" s="13" t="str"/>
      <x:c r="T87" s="13" t="str">
        <x:v>High</x:v>
      </x:c>
    </x:row>
    <x:row r="88">
      <x:c r="A88" s="13" t="str">
        <x:v>Video Game</x:v>
      </x:c>
      <x:c r="B88" s="13" t="str">
        <x:v>PS4</x:v>
      </x:c>
      <x:c r="C88" s="13" t="str">
        <x:v>Borderlands: The Handsome Collection</x:v>
      </x:c>
      <x:c r="D88" s="13" t="str"/>
      <x:c r="E88" s="14" t="n">
        <x:v>15</x:v>
      </x:c>
      <x:c r="F88" s="14" t="n">
        <x:v>25</x:v>
      </x:c>
      <x:c r="G88" s="14" t="n">
        <x:v>20</x:v>
      </x:c>
      <x:c r="H88" s="14" t="n">
        <x:v>10</x:v>
      </x:c>
      <x:c r="I88" s="14" t="n">
        <x:v>19</x:v>
      </x:c>
      <x:c r="J88" s="14" t="str">
        <x:v>Flip First</x:v>
      </x:c>
      <x:c r="K88" s="14" t="str">
        <x:v>Inventory</x:v>
      </x:c>
      <x:c r="L88" s="14" t="str"/>
      <x:c r="M88" s="14" t="str"/>
      <x:c r="N88" s="14" t="str"/>
      <x:c r="O88" s="14" t="str"/>
      <x:c r="P88" s="14" t="str">
        <x:f>IF(M88="","",M88-N88-O88-L88)</x:f>
      </x:c>
      <x:c r="Q88" s="13" t="str"/>
      <x:c r="R88" s="13" t="str"/>
      <x:c r="S88" s="13" t="str"/>
      <x:c r="T88" s="13" t="str">
        <x:v>High</x:v>
      </x:c>
    </x:row>
    <x:row r="89">
      <x:c r="A89" s="13" t="str">
        <x:v>Video Game</x:v>
      </x:c>
      <x:c r="B89" s="13" t="str">
        <x:v>PS4</x:v>
      </x:c>
      <x:c r="C89" s="13" t="str">
        <x:v>The Elder Scrolls V: Skyrim Special Edition</x:v>
      </x:c>
      <x:c r="D89" s="13" t="str"/>
      <x:c r="E89" s="14" t="n">
        <x:v>12</x:v>
      </x:c>
      <x:c r="F89" s="14" t="n">
        <x:v>20</x:v>
      </x:c>
      <x:c r="G89" s="14" t="n">
        <x:v>16</x:v>
      </x:c>
      <x:c r="H89" s="14" t="n">
        <x:v>8</x:v>
      </x:c>
      <x:c r="I89" s="14" t="n">
        <x:v>15</x:v>
      </x:c>
      <x:c r="J89" s="14" t="str">
        <x:v>Worth Listing</x:v>
      </x:c>
      <x:c r="K89" s="14" t="str">
        <x:v>Inventory</x:v>
      </x:c>
      <x:c r="L89" s="14" t="str"/>
      <x:c r="M89" s="14" t="str"/>
      <x:c r="N89" s="14" t="str"/>
      <x:c r="O89" s="14" t="str"/>
      <x:c r="P89" s="14" t="str">
        <x:f>IF(M89="","",M89-N89-O89-L89)</x:f>
      </x:c>
      <x:c r="Q89" s="13" t="str"/>
      <x:c r="R89" s="13" t="str"/>
      <x:c r="S89" s="13" t="str"/>
      <x:c r="T89" s="13" t="str">
        <x:v>High</x:v>
      </x:c>
    </x:row>
    <x:row r="90">
      <x:c r="A90" s="13" t="str">
        <x:v>Video Game</x:v>
      </x:c>
      <x:c r="B90" s="13" t="str">
        <x:v>PS4</x:v>
      </x:c>
      <x:c r="C90" s="13" t="str">
        <x:v>God of War</x:v>
      </x:c>
      <x:c r="D90" s="13" t="str"/>
      <x:c r="E90" s="14" t="n">
        <x:v>15</x:v>
      </x:c>
      <x:c r="F90" s="14" t="n">
        <x:v>25</x:v>
      </x:c>
      <x:c r="G90" s="14" t="n">
        <x:v>20</x:v>
      </x:c>
      <x:c r="H90" s="14" t="n">
        <x:v>10</x:v>
      </x:c>
      <x:c r="I90" s="14" t="n">
        <x:v>19</x:v>
      </x:c>
      <x:c r="J90" s="14" t="str">
        <x:v>Flip First</x:v>
      </x:c>
      <x:c r="K90" s="14" t="str">
        <x:v>Inventory</x:v>
      </x:c>
      <x:c r="L90" s="14" t="str"/>
      <x:c r="M90" s="14" t="str"/>
      <x:c r="N90" s="14" t="str"/>
      <x:c r="O90" s="14" t="str"/>
      <x:c r="P90" s="14" t="str">
        <x:f>IF(M90="","",M90-N90-O90-L90)</x:f>
      </x:c>
      <x:c r="Q90" s="13" t="str"/>
      <x:c r="R90" s="13" t="str"/>
      <x:c r="S90" s="13" t="str"/>
      <x:c r="T90" s="13" t="str">
        <x:v>High</x:v>
      </x:c>
    </x:row>
    <x:row r="91">
      <x:c r="A91" s="13" t="str">
        <x:v>Video Game</x:v>
      </x:c>
      <x:c r="B91" s="13" t="str">
        <x:v>PS4</x:v>
      </x:c>
      <x:c r="C91" s="13" t="str">
        <x:v>Devil May Cry 5</x:v>
      </x:c>
      <x:c r="D91" s="13" t="str"/>
      <x:c r="E91" s="14" t="n">
        <x:v>15</x:v>
      </x:c>
      <x:c r="F91" s="14" t="n">
        <x:v>25</x:v>
      </x:c>
      <x:c r="G91" s="14" t="n">
        <x:v>20</x:v>
      </x:c>
      <x:c r="H91" s="14" t="n">
        <x:v>10</x:v>
      </x:c>
      <x:c r="I91" s="14" t="n">
        <x:v>19</x:v>
      </x:c>
      <x:c r="J91" s="14" t="str">
        <x:v>Flip First</x:v>
      </x:c>
      <x:c r="K91" s="14" t="str">
        <x:v>Inventory</x:v>
      </x:c>
      <x:c r="L91" s="14" t="str"/>
      <x:c r="M91" s="14" t="str"/>
      <x:c r="N91" s="14" t="str"/>
      <x:c r="O91" s="14" t="str"/>
      <x:c r="P91" s="14" t="str">
        <x:f>IF(M91="","",M91-N91-O91-L91)</x:f>
      </x:c>
      <x:c r="Q91" s="13" t="str"/>
      <x:c r="R91" s="13" t="str"/>
      <x:c r="S91" s="13" t="str"/>
      <x:c r="T91" s="13" t="str">
        <x:v>High</x:v>
      </x:c>
    </x:row>
    <x:row r="92">
      <x:c r="A92" s="13" t="str">
        <x:v>Video Game</x:v>
      </x:c>
      <x:c r="B92" s="13" t="str">
        <x:v>PS4</x:v>
      </x:c>
      <x:c r="C92" s="13" t="str">
        <x:v>Ratchet &amp; Clank</x:v>
      </x:c>
      <x:c r="D92" s="13" t="str"/>
      <x:c r="E92" s="14" t="n">
        <x:v>15</x:v>
      </x:c>
      <x:c r="F92" s="14" t="n">
        <x:v>25</x:v>
      </x:c>
      <x:c r="G92" s="14" t="n">
        <x:v>20</x:v>
      </x:c>
      <x:c r="H92" s="14" t="n">
        <x:v>10</x:v>
      </x:c>
      <x:c r="I92" s="14" t="n">
        <x:v>19</x:v>
      </x:c>
      <x:c r="J92" s="14" t="str">
        <x:v>Flip First</x:v>
      </x:c>
      <x:c r="K92" s="14" t="str">
        <x:v>Inventory</x:v>
      </x:c>
      <x:c r="L92" s="14" t="str"/>
      <x:c r="M92" s="14" t="str"/>
      <x:c r="N92" s="14" t="str"/>
      <x:c r="O92" s="14" t="str"/>
      <x:c r="P92" s="14" t="str">
        <x:f>IF(M92="","",M92-N92-O92-L92)</x:f>
      </x:c>
      <x:c r="Q92" s="13" t="str"/>
      <x:c r="R92" s="13" t="str"/>
      <x:c r="S92" s="13" t="str"/>
      <x:c r="T92" s="13" t="str">
        <x:v>High</x:v>
      </x:c>
    </x:row>
    <x:row r="93">
      <x:c r="A93" s="13" t="str">
        <x:v>Video Game</x:v>
      </x:c>
      <x:c r="B93" s="13" t="str">
        <x:v>PS4</x:v>
      </x:c>
      <x:c r="C93" s="13" t="str">
        <x:v>XCOM 2</x:v>
      </x:c>
      <x:c r="D93" s="13" t="str"/>
      <x:c r="E93" s="14" t="n">
        <x:v>15</x:v>
      </x:c>
      <x:c r="F93" s="14" t="n">
        <x:v>25</x:v>
      </x:c>
      <x:c r="G93" s="14" t="n">
        <x:v>20</x:v>
      </x:c>
      <x:c r="H93" s="14" t="n">
        <x:v>10</x:v>
      </x:c>
      <x:c r="I93" s="14" t="n">
        <x:v>19</x:v>
      </x:c>
      <x:c r="J93" s="14" t="str">
        <x:v>Flip First</x:v>
      </x:c>
      <x:c r="K93" s="14" t="str">
        <x:v>Inventory</x:v>
      </x:c>
      <x:c r="L93" s="14" t="str"/>
      <x:c r="M93" s="14" t="str"/>
      <x:c r="N93" s="14" t="str"/>
      <x:c r="O93" s="14" t="str"/>
      <x:c r="P93" s="14" t="str">
        <x:f>IF(M93="","",M93-N93-O93-L93)</x:f>
      </x:c>
      <x:c r="Q93" s="13" t="str"/>
      <x:c r="R93" s="13" t="str"/>
      <x:c r="S93" s="13" t="str"/>
      <x:c r="T93" s="13" t="str">
        <x:v>High</x:v>
      </x:c>
    </x:row>
    <x:row r="94">
      <x:c r="A94" s="13" t="str">
        <x:v>Video Game</x:v>
      </x:c>
      <x:c r="B94" s="13" t="str">
        <x:v>PS4</x:v>
      </x:c>
      <x:c r="C94" s="13" t="str">
        <x:v>Far Cry 6</x:v>
      </x:c>
      <x:c r="D94" s="13" t="str"/>
      <x:c r="E94" s="14" t="n">
        <x:v>15</x:v>
      </x:c>
      <x:c r="F94" s="14" t="n">
        <x:v>20</x:v>
      </x:c>
      <x:c r="G94" s="14" t="n">
        <x:v>17.5</x:v>
      </x:c>
      <x:c r="H94" s="14" t="n">
        <x:v>10</x:v>
      </x:c>
      <x:c r="I94" s="14" t="n">
        <x:v>15</x:v>
      </x:c>
      <x:c r="J94" s="14" t="str">
        <x:v>Worth Listing</x:v>
      </x:c>
      <x:c r="K94" s="14" t="str">
        <x:v>Inventory</x:v>
      </x:c>
      <x:c r="L94" s="14" t="str"/>
      <x:c r="M94" s="14" t="str"/>
      <x:c r="N94" s="14" t="str"/>
      <x:c r="O94" s="14" t="str"/>
      <x:c r="P94" s="14" t="str">
        <x:f>IF(M94="","",M94-N94-O94-L94)</x:f>
      </x:c>
      <x:c r="Q94" s="13" t="str"/>
      <x:c r="R94" s="13" t="str"/>
      <x:c r="S94" s="13" t="str"/>
      <x:c r="T94" s="13" t="str">
        <x:v>High</x:v>
      </x:c>
    </x:row>
    <x:row r="95">
      <x:c r="A95" s="13" t="str">
        <x:v>Video Game</x:v>
      </x:c>
      <x:c r="B95" s="13" t="str">
        <x:v>PS4</x:v>
      </x:c>
      <x:c r="C95" s="13" t="str">
        <x:v>Diablo III: Ultimate Evil Edition</x:v>
      </x:c>
      <x:c r="D95" s="13" t="str"/>
      <x:c r="E95" s="14" t="n">
        <x:v>15</x:v>
      </x:c>
      <x:c r="F95" s="14" t="n">
        <x:v>20</x:v>
      </x:c>
      <x:c r="G95" s="14" t="n">
        <x:v>17.5</x:v>
      </x:c>
      <x:c r="H95" s="14" t="n">
        <x:v>10</x:v>
      </x:c>
      <x:c r="I95" s="14" t="n">
        <x:v>15</x:v>
      </x:c>
      <x:c r="J95" s="14" t="str">
        <x:v>Worth Listing</x:v>
      </x:c>
      <x:c r="K95" s="14" t="str">
        <x:v>Inventory</x:v>
      </x:c>
      <x:c r="L95" s="14" t="str"/>
      <x:c r="M95" s="14" t="str"/>
      <x:c r="N95" s="14" t="str"/>
      <x:c r="O95" s="14" t="str"/>
      <x:c r="P95" s="14" t="str">
        <x:f>IF(M95="","",M95-N95-O95-L95)</x:f>
      </x:c>
      <x:c r="Q95" s="13" t="str"/>
      <x:c r="R95" s="13" t="str"/>
      <x:c r="S95" s="13" t="str"/>
      <x:c r="T95" s="13" t="str">
        <x:v>High</x:v>
      </x:c>
    </x:row>
    <x:row r="96">
      <x:c r="A96" s="13" t="str">
        <x:v>Video Game</x:v>
      </x:c>
      <x:c r="B96" s="13" t="str">
        <x:v>PS4</x:v>
      </x:c>
      <x:c r="C96" s="13" t="str">
        <x:v>Baldur's Gate I &amp; II Enhanced Edition</x:v>
      </x:c>
      <x:c r="D96" s="13" t="str"/>
      <x:c r="E96" s="14" t="n">
        <x:v>15</x:v>
      </x:c>
      <x:c r="F96" s="14" t="n">
        <x:v>25</x:v>
      </x:c>
      <x:c r="G96" s="14" t="n">
        <x:v>20</x:v>
      </x:c>
      <x:c r="H96" s="14" t="n">
        <x:v>10</x:v>
      </x:c>
      <x:c r="I96" s="14" t="n">
        <x:v>19</x:v>
      </x:c>
      <x:c r="J96" s="14" t="str">
        <x:v>Flip First</x:v>
      </x:c>
      <x:c r="K96" s="14" t="str">
        <x:v>Inventory</x:v>
      </x:c>
      <x:c r="L96" s="14" t="str"/>
      <x:c r="M96" s="14" t="str"/>
      <x:c r="N96" s="14" t="str"/>
      <x:c r="O96" s="14" t="str"/>
      <x:c r="P96" s="14" t="str">
        <x:f>IF(M96="","",M96-N96-O96-L96)</x:f>
      </x:c>
      <x:c r="Q96" s="13" t="str"/>
      <x:c r="R96" s="13" t="str"/>
      <x:c r="S96" s="13" t="str"/>
      <x:c r="T96" s="13" t="str">
        <x:v>High</x:v>
      </x:c>
    </x:row>
    <x:row r="97">
      <x:c r="A97" s="13" t="str">
        <x:v>Video Game</x:v>
      </x:c>
      <x:c r="B97" s="13" t="str">
        <x:v>PS4</x:v>
      </x:c>
      <x:c r="C97" s="13" t="str">
        <x:v>Exoprimal</x:v>
      </x:c>
      <x:c r="D97" s="13" t="str"/>
      <x:c r="E97" s="14" t="n">
        <x:v>15</x:v>
      </x:c>
      <x:c r="F97" s="14" t="n">
        <x:v>25</x:v>
      </x:c>
      <x:c r="G97" s="14" t="n">
        <x:v>20</x:v>
      </x:c>
      <x:c r="H97" s="14" t="n">
        <x:v>10</x:v>
      </x:c>
      <x:c r="I97" s="14" t="n">
        <x:v>19</x:v>
      </x:c>
      <x:c r="J97" s="14" t="str">
        <x:v>Flip First</x:v>
      </x:c>
      <x:c r="K97" s="14" t="str">
        <x:v>Inventory</x:v>
      </x:c>
      <x:c r="L97" s="14" t="str"/>
      <x:c r="M97" s="14" t="str"/>
      <x:c r="N97" s="14" t="str"/>
      <x:c r="O97" s="14" t="str"/>
      <x:c r="P97" s="14" t="str">
        <x:f>IF(M97="","",M97-N97-O97-L97)</x:f>
      </x:c>
      <x:c r="Q97" s="13" t="str"/>
      <x:c r="R97" s="13" t="str"/>
      <x:c r="S97" s="13" t="str"/>
      <x:c r="T97" s="13" t="str">
        <x:v>High</x:v>
      </x:c>
    </x:row>
    <x:row r="98">
      <x:c r="A98" s="13" t="str">
        <x:v>Video Game</x:v>
      </x:c>
      <x:c r="B98" s="13" t="str">
        <x:v>PS4</x:v>
      </x:c>
      <x:c r="C98" s="13" t="str">
        <x:v>The Last of Us Remastered</x:v>
      </x:c>
      <x:c r="D98" s="13" t="str"/>
      <x:c r="E98" s="14" t="n">
        <x:v>10</x:v>
      </x:c>
      <x:c r="F98" s="14" t="n">
        <x:v>15</x:v>
      </x:c>
      <x:c r="G98" s="14" t="n">
        <x:v>12.5</x:v>
      </x:c>
      <x:c r="H98" s="14" t="n">
        <x:v>6</x:v>
      </x:c>
      <x:c r="I98" s="14" t="n">
        <x:v>11</x:v>
      </x:c>
      <x:c r="J98" s="14" t="str">
        <x:v>Worth Listing</x:v>
      </x:c>
      <x:c r="K98" s="14" t="str">
        <x:v>Inventory</x:v>
      </x:c>
      <x:c r="L98" s="14" t="str"/>
      <x:c r="M98" s="14" t="str"/>
      <x:c r="N98" s="14" t="str"/>
      <x:c r="O98" s="14" t="str"/>
      <x:c r="P98" s="14" t="str">
        <x:f>IF(M98="","",M98-N98-O98-L98)</x:f>
      </x:c>
      <x:c r="Q98" s="13" t="str"/>
      <x:c r="R98" s="13" t="str"/>
      <x:c r="S98" s="13" t="str"/>
      <x:c r="T98" s="13" t="str">
        <x:v>High</x:v>
      </x:c>
    </x:row>
    <x:row r="99">
      <x:c r="A99" s="13" t="str">
        <x:v>Video Game</x:v>
      </x:c>
      <x:c r="B99" s="13" t="str">
        <x:v>PS4</x:v>
      </x:c>
      <x:c r="C99" s="13" t="str">
        <x:v>Call of Duty: Black Ops III</x:v>
      </x:c>
      <x:c r="D99" s="13" t="str"/>
      <x:c r="E99" s="14" t="n">
        <x:v>10</x:v>
      </x:c>
      <x:c r="F99" s="14" t="n">
        <x:v>20</x:v>
      </x:c>
      <x:c r="G99" s="14" t="n">
        <x:v>15</x:v>
      </x:c>
      <x:c r="H99" s="14" t="n">
        <x:v>6</x:v>
      </x:c>
      <x:c r="I99" s="14" t="n">
        <x:v>15</x:v>
      </x:c>
      <x:c r="J99" s="14" t="str">
        <x:v>Worth Listing</x:v>
      </x:c>
      <x:c r="K99" s="14" t="str">
        <x:v>Inventory</x:v>
      </x:c>
      <x:c r="L99" s="14" t="str"/>
      <x:c r="M99" s="14" t="str"/>
      <x:c r="N99" s="14" t="str"/>
      <x:c r="O99" s="14" t="str"/>
      <x:c r="P99" s="14" t="str">
        <x:f>IF(M99="","",M99-N99-O99-L99)</x:f>
      </x:c>
      <x:c r="Q99" s="13" t="str"/>
      <x:c r="R99" s="13" t="str"/>
      <x:c r="S99" s="13" t="str"/>
      <x:c r="T99" s="13" t="str">
        <x:v>High</x:v>
      </x:c>
    </x:row>
    <x:row r="100">
      <x:c r="A100" s="13" t="str">
        <x:v>Video Game</x:v>
      </x:c>
      <x:c r="B100" s="13" t="str">
        <x:v>PS4</x:v>
      </x:c>
      <x:c r="C100" s="13" t="str">
        <x:v>Call of Duty: WWII</x:v>
      </x:c>
      <x:c r="D100" s="13" t="str"/>
      <x:c r="E100" s="14" t="n">
        <x:v>10</x:v>
      </x:c>
      <x:c r="F100" s="14" t="n">
        <x:v>20</x:v>
      </x:c>
      <x:c r="G100" s="14" t="n">
        <x:v>15</x:v>
      </x:c>
      <x:c r="H100" s="14" t="n">
        <x:v>6</x:v>
      </x:c>
      <x:c r="I100" s="14" t="n">
        <x:v>15</x:v>
      </x:c>
      <x:c r="J100" s="14" t="str">
        <x:v>Worth Listing</x:v>
      </x:c>
      <x:c r="K100" s="14" t="str">
        <x:v>Inventory</x:v>
      </x:c>
      <x:c r="L100" s="14" t="str"/>
      <x:c r="M100" s="14" t="str"/>
      <x:c r="N100" s="14" t="str"/>
      <x:c r="O100" s="14" t="str"/>
      <x:c r="P100" s="14" t="str">
        <x:f>IF(M100="","",M100-N100-O100-L100)</x:f>
      </x:c>
      <x:c r="Q100" s="13" t="str"/>
      <x:c r="R100" s="13" t="str"/>
      <x:c r="S100" s="13" t="str"/>
      <x:c r="T100" s="13" t="str">
        <x:v>High</x:v>
      </x:c>
    </x:row>
    <x:row r="101">
      <x:c r="A101" s="13" t="str">
        <x:v>Video Game</x:v>
      </x:c>
      <x:c r="B101" s="13" t="str">
        <x:v>PS4</x:v>
      </x:c>
      <x:c r="C101" s="13" t="str">
        <x:v>Horizon Zero Dawn</x:v>
      </x:c>
      <x:c r="D101" s="13" t="str"/>
      <x:c r="E101" s="14" t="n">
        <x:v>10</x:v>
      </x:c>
      <x:c r="F101" s="14" t="n">
        <x:v>20</x:v>
      </x:c>
      <x:c r="G101" s="14" t="n">
        <x:v>15</x:v>
      </x:c>
      <x:c r="H101" s="14" t="n">
        <x:v>6</x:v>
      </x:c>
      <x:c r="I101" s="14" t="n">
        <x:v>15</x:v>
      </x:c>
      <x:c r="J101" s="14" t="str">
        <x:v>Worth Listing</x:v>
      </x:c>
      <x:c r="K101" s="14" t="str">
        <x:v>Inventory</x:v>
      </x:c>
      <x:c r="L101" s="14" t="str"/>
      <x:c r="M101" s="14" t="str"/>
      <x:c r="N101" s="14" t="str"/>
      <x:c r="O101" s="14" t="str"/>
      <x:c r="P101" s="14" t="str">
        <x:f>IF(M101="","",M101-N101-O101-L101)</x:f>
      </x:c>
      <x:c r="Q101" s="13" t="str"/>
      <x:c r="R101" s="13" t="str"/>
      <x:c r="S101" s="13" t="str"/>
      <x:c r="T101" s="13" t="str">
        <x:v>High</x:v>
      </x:c>
    </x:row>
    <x:row r="102">
      <x:c r="A102" s="13" t="str">
        <x:v>Video Game</x:v>
      </x:c>
      <x:c r="B102" s="13" t="str">
        <x:v>PS4</x:v>
      </x:c>
      <x:c r="C102" s="13" t="str">
        <x:v>Uncharted 4: A Thief's End</x:v>
      </x:c>
      <x:c r="D102" s="13" t="str"/>
      <x:c r="E102" s="14" t="n">
        <x:v>8</x:v>
      </x:c>
      <x:c r="F102" s="14" t="n">
        <x:v>12</x:v>
      </x:c>
      <x:c r="G102" s="14" t="n">
        <x:v>10</x:v>
      </x:c>
      <x:c r="H102" s="14" t="n">
        <x:v>5</x:v>
      </x:c>
      <x:c r="I102" s="14" t="n">
        <x:v>9</x:v>
      </x:c>
      <x:c r="J102" s="14" t="str">
        <x:v>Bundle/Common</x:v>
      </x:c>
      <x:c r="K102" s="14" t="str">
        <x:v>Inventory</x:v>
      </x:c>
      <x:c r="L102" s="14" t="str"/>
      <x:c r="M102" s="14" t="str"/>
      <x:c r="N102" s="14" t="str"/>
      <x:c r="O102" s="14" t="str"/>
      <x:c r="P102" s="14" t="str">
        <x:f>IF(M102="","",M102-N102-O102-L102)</x:f>
      </x:c>
      <x:c r="Q102" s="13" t="str"/>
      <x:c r="R102" s="13" t="str"/>
      <x:c r="S102" s="13" t="str"/>
      <x:c r="T102" s="13" t="str">
        <x:v>High</x:v>
      </x:c>
    </x:row>
    <x:row r="103">
      <x:c r="A103" s="13" t="str">
        <x:v>Video Game</x:v>
      </x:c>
      <x:c r="B103" s="13" t="str">
        <x:v>PS4</x:v>
      </x:c>
      <x:c r="C103" s="13" t="str">
        <x:v>Far Cry 4</x:v>
      </x:c>
      <x:c r="D103" s="13" t="str"/>
      <x:c r="E103" s="14" t="n">
        <x:v>10</x:v>
      </x:c>
      <x:c r="F103" s="14" t="n">
        <x:v>15</x:v>
      </x:c>
      <x:c r="G103" s="14" t="n">
        <x:v>12.5</x:v>
      </x:c>
      <x:c r="H103" s="14" t="n">
        <x:v>6</x:v>
      </x:c>
      <x:c r="I103" s="14" t="n">
        <x:v>11</x:v>
      </x:c>
      <x:c r="J103" s="14" t="str">
        <x:v>Worth Listing</x:v>
      </x:c>
      <x:c r="K103" s="14" t="str">
        <x:v>Inventory</x:v>
      </x:c>
      <x:c r="L103" s="14" t="str"/>
      <x:c r="M103" s="14" t="str"/>
      <x:c r="N103" s="14" t="str"/>
      <x:c r="O103" s="14" t="str"/>
      <x:c r="P103" s="14" t="str">
        <x:f>IF(M103="","",M103-N103-O103-L103)</x:f>
      </x:c>
      <x:c r="Q103" s="13" t="str"/>
      <x:c r="R103" s="13" t="str"/>
      <x:c r="S103" s="13" t="str"/>
      <x:c r="T103" s="13" t="str">
        <x:v>High</x:v>
      </x:c>
    </x:row>
    <x:row r="104">
      <x:c r="A104" s="13" t="str">
        <x:v>Video Game</x:v>
      </x:c>
      <x:c r="B104" s="13" t="str">
        <x:v>PS4</x:v>
      </x:c>
      <x:c r="C104" s="13" t="str">
        <x:v>Battlefield 1 Deluxe Edition</x:v>
      </x:c>
      <x:c r="D104" s="13" t="str"/>
      <x:c r="E104" s="14" t="n">
        <x:v>10</x:v>
      </x:c>
      <x:c r="F104" s="14" t="n">
        <x:v>20</x:v>
      </x:c>
      <x:c r="G104" s="14" t="n">
        <x:v>15</x:v>
      </x:c>
      <x:c r="H104" s="14" t="n">
        <x:v>6</x:v>
      </x:c>
      <x:c r="I104" s="14" t="n">
        <x:v>15</x:v>
      </x:c>
      <x:c r="J104" s="14" t="str">
        <x:v>Worth Listing</x:v>
      </x:c>
      <x:c r="K104" s="14" t="str">
        <x:v>Inventory</x:v>
      </x:c>
      <x:c r="L104" s="14" t="str"/>
      <x:c r="M104" s="14" t="str"/>
      <x:c r="N104" s="14" t="str"/>
      <x:c r="O104" s="14" t="str"/>
      <x:c r="P104" s="14" t="str">
        <x:f>IF(M104="","",M104-N104-O104-L104)</x:f>
      </x:c>
      <x:c r="Q104" s="13" t="str"/>
      <x:c r="R104" s="13" t="str"/>
      <x:c r="S104" s="13" t="str"/>
      <x:c r="T104" s="13" t="str">
        <x:v>High</x:v>
      </x:c>
    </x:row>
    <x:row r="105">
      <x:c r="A105" s="13" t="str">
        <x:v>Video Game</x:v>
      </x:c>
      <x:c r="B105" s="13" t="str">
        <x:v>PS4</x:v>
      </x:c>
      <x:c r="C105" s="13" t="str">
        <x:v>LEGO The Incredibles</x:v>
      </x:c>
      <x:c r="D105" s="13" t="str"/>
      <x:c r="E105" s="14" t="n">
        <x:v>10</x:v>
      </x:c>
      <x:c r="F105" s="14" t="n">
        <x:v>20</x:v>
      </x:c>
      <x:c r="G105" s="14" t="n">
        <x:v>15</x:v>
      </x:c>
      <x:c r="H105" s="14" t="n">
        <x:v>6</x:v>
      </x:c>
      <x:c r="I105" s="14" t="n">
        <x:v>15</x:v>
      </x:c>
      <x:c r="J105" s="14" t="str">
        <x:v>Worth Listing</x:v>
      </x:c>
      <x:c r="K105" s="14" t="str">
        <x:v>Inventory</x:v>
      </x:c>
      <x:c r="L105" s="14" t="str"/>
      <x:c r="M105" s="14" t="str"/>
      <x:c r="N105" s="14" t="str"/>
      <x:c r="O105" s="14" t="str"/>
      <x:c r="P105" s="14" t="str">
        <x:f>IF(M105="","",M105-N105-O105-L105)</x:f>
      </x:c>
      <x:c r="Q105" s="13" t="str"/>
      <x:c r="R105" s="13" t="str"/>
      <x:c r="S105" s="13" t="str"/>
      <x:c r="T105" s="13" t="str">
        <x:v>High</x:v>
      </x:c>
    </x:row>
    <x:row r="106">
      <x:c r="A106" s="13" t="str">
        <x:v>Video Game</x:v>
      </x:c>
      <x:c r="B106" s="13" t="str">
        <x:v>PS4</x:v>
      </x:c>
      <x:c r="C106" s="13" t="str">
        <x:v>Back 4 Blood</x:v>
      </x:c>
      <x:c r="D106" s="13" t="str"/>
      <x:c r="E106" s="14" t="n">
        <x:v>10</x:v>
      </x:c>
      <x:c r="F106" s="14" t="n">
        <x:v>15</x:v>
      </x:c>
      <x:c r="G106" s="14" t="n">
        <x:v>12.5</x:v>
      </x:c>
      <x:c r="H106" s="14" t="n">
        <x:v>6</x:v>
      </x:c>
      <x:c r="I106" s="14" t="n">
        <x:v>11</x:v>
      </x:c>
      <x:c r="J106" s="14" t="str">
        <x:v>Worth Listing</x:v>
      </x:c>
      <x:c r="K106" s="14" t="str">
        <x:v>Inventory</x:v>
      </x:c>
      <x:c r="L106" s="14" t="str"/>
      <x:c r="M106" s="14" t="str"/>
      <x:c r="N106" s="14" t="str"/>
      <x:c r="O106" s="14" t="str"/>
      <x:c r="P106" s="14" t="str">
        <x:f>IF(M106="","",M106-N106-O106-L106)</x:f>
      </x:c>
      <x:c r="Q106" s="13" t="str"/>
      <x:c r="R106" s="13" t="str"/>
      <x:c r="S106" s="13" t="str"/>
      <x:c r="T106" s="13" t="str">
        <x:v>High</x:v>
      </x:c>
    </x:row>
    <x:row r="107">
      <x:c r="A107" s="13" t="str">
        <x:v>Video Game</x:v>
      </x:c>
      <x:c r="B107" s="13" t="str">
        <x:v>PS4</x:v>
      </x:c>
      <x:c r="C107" s="13" t="str">
        <x:v>Fallout 4</x:v>
      </x:c>
      <x:c r="D107" s="13" t="str"/>
      <x:c r="E107" s="14" t="n">
        <x:v>8</x:v>
      </x:c>
      <x:c r="F107" s="14" t="n">
        <x:v>12</x:v>
      </x:c>
      <x:c r="G107" s="14" t="n">
        <x:v>10</x:v>
      </x:c>
      <x:c r="H107" s="14" t="n">
        <x:v>5</x:v>
      </x:c>
      <x:c r="I107" s="14" t="n">
        <x:v>9</x:v>
      </x:c>
      <x:c r="J107" s="14" t="str">
        <x:v>Bundle/Common</x:v>
      </x:c>
      <x:c r="K107" s="14" t="str">
        <x:v>Inventory</x:v>
      </x:c>
      <x:c r="L107" s="14" t="str"/>
      <x:c r="M107" s="14" t="str"/>
      <x:c r="N107" s="14" t="str"/>
      <x:c r="O107" s="14" t="str"/>
      <x:c r="P107" s="14" t="str">
        <x:f>IF(M107="","",M107-N107-O107-L107)</x:f>
      </x:c>
      <x:c r="Q107" s="13" t="str"/>
      <x:c r="R107" s="13" t="str"/>
      <x:c r="S107" s="13" t="str"/>
      <x:c r="T107" s="13" t="str">
        <x:v>High</x:v>
      </x:c>
    </x:row>
    <x:row r="108">
      <x:c r="A108" s="13" t="str">
        <x:v>Video Game</x:v>
      </x:c>
      <x:c r="B108" s="13" t="str">
        <x:v>PS4</x:v>
      </x:c>
      <x:c r="C108" s="13" t="str">
        <x:v>Watch Dogs</x:v>
      </x:c>
      <x:c r="D108" s="13" t="str"/>
      <x:c r="E108" s="14" t="n">
        <x:v>5</x:v>
      </x:c>
      <x:c r="F108" s="14" t="n">
        <x:v>10</x:v>
      </x:c>
      <x:c r="G108" s="14" t="n">
        <x:v>7.5</x:v>
      </x:c>
      <x:c r="H108" s="14" t="n">
        <x:v>3</x:v>
      </x:c>
      <x:c r="I108" s="14" t="n">
        <x:v>8</x:v>
      </x:c>
      <x:c r="J108" s="14" t="str">
        <x:v>Bundle/Common</x:v>
      </x:c>
      <x:c r="K108" s="14" t="str">
        <x:v>Inventory</x:v>
      </x:c>
      <x:c r="L108" s="14" t="str"/>
      <x:c r="M108" s="14" t="str"/>
      <x:c r="N108" s="14" t="str"/>
      <x:c r="O108" s="14" t="str"/>
      <x:c r="P108" s="14" t="str">
        <x:f>IF(M108="","",M108-N108-O108-L108)</x:f>
      </x:c>
      <x:c r="Q108" s="13" t="str"/>
      <x:c r="R108" s="13" t="str"/>
      <x:c r="S108" s="13" t="str"/>
      <x:c r="T108" s="13" t="str">
        <x:v>High</x:v>
      </x:c>
    </x:row>
    <x:row r="109">
      <x:c r="A109" s="13" t="str">
        <x:v>Video Game</x:v>
      </x:c>
      <x:c r="B109" s="13" t="str">
        <x:v>PS4</x:v>
      </x:c>
      <x:c r="C109" s="13" t="str">
        <x:v>Watch Dogs: Legion</x:v>
      </x:c>
      <x:c r="D109" s="13" t="str"/>
      <x:c r="E109" s="14" t="n">
        <x:v>10</x:v>
      </x:c>
      <x:c r="F109" s="14" t="n">
        <x:v>15</x:v>
      </x:c>
      <x:c r="G109" s="14" t="n">
        <x:v>12.5</x:v>
      </x:c>
      <x:c r="H109" s="14" t="n">
        <x:v>6</x:v>
      </x:c>
      <x:c r="I109" s="14" t="n">
        <x:v>11</x:v>
      </x:c>
      <x:c r="J109" s="14" t="str">
        <x:v>Worth Listing</x:v>
      </x:c>
      <x:c r="K109" s="14" t="str">
        <x:v>Inventory</x:v>
      </x:c>
      <x:c r="L109" s="14" t="str"/>
      <x:c r="M109" s="14" t="str"/>
      <x:c r="N109" s="14" t="str"/>
      <x:c r="O109" s="14" t="str"/>
      <x:c r="P109" s="14" t="str">
        <x:f>IF(M109="","",M109-N109-O109-L109)</x:f>
      </x:c>
      <x:c r="Q109" s="13" t="str"/>
      <x:c r="R109" s="13" t="str"/>
      <x:c r="S109" s="13" t="str"/>
      <x:c r="T109" s="13" t="str">
        <x:v>High</x:v>
      </x:c>
    </x:row>
    <x:row r="110">
      <x:c r="A110" s="13" t="str">
        <x:v>Video Game</x:v>
      </x:c>
      <x:c r="B110" s="13" t="str">
        <x:v>PS4</x:v>
      </x:c>
      <x:c r="C110" s="13" t="str">
        <x:v>Bound by Flame</x:v>
      </x:c>
      <x:c r="D110" s="13" t="str"/>
      <x:c r="E110" s="14" t="n">
        <x:v>5</x:v>
      </x:c>
      <x:c r="F110" s="14" t="n">
        <x:v>10</x:v>
      </x:c>
      <x:c r="G110" s="14" t="n">
        <x:v>7.5</x:v>
      </x:c>
      <x:c r="H110" s="14" t="n">
        <x:v>3</x:v>
      </x:c>
      <x:c r="I110" s="14" t="n">
        <x:v>8</x:v>
      </x:c>
      <x:c r="J110" s="14" t="str">
        <x:v>Bundle/Common</x:v>
      </x:c>
      <x:c r="K110" s="14" t="str">
        <x:v>Inventory</x:v>
      </x:c>
      <x:c r="L110" s="14" t="str"/>
      <x:c r="M110" s="14" t="str"/>
      <x:c r="N110" s="14" t="str"/>
      <x:c r="O110" s="14" t="str"/>
      <x:c r="P110" s="14" t="str">
        <x:f>IF(M110="","",M110-N110-O110-L110)</x:f>
      </x:c>
      <x:c r="Q110" s="13" t="str"/>
      <x:c r="R110" s="13" t="str"/>
      <x:c r="S110" s="13" t="str"/>
      <x:c r="T110" s="13" t="str">
        <x:v>High</x:v>
      </x:c>
    </x:row>
    <x:row r="111">
      <x:c r="A111" s="13" t="str">
        <x:v>Video Game</x:v>
      </x:c>
      <x:c r="B111" s="13" t="str">
        <x:v>PS4</x:v>
      </x:c>
      <x:c r="C111" s="13" t="str">
        <x:v>Injustice 2</x:v>
      </x:c>
      <x:c r="D111" s="13" t="str"/>
      <x:c r="E111" s="14" t="n">
        <x:v>5</x:v>
      </x:c>
      <x:c r="F111" s="14" t="n">
        <x:v>10</x:v>
      </x:c>
      <x:c r="G111" s="14" t="n">
        <x:v>7.5</x:v>
      </x:c>
      <x:c r="H111" s="14" t="n">
        <x:v>3</x:v>
      </x:c>
      <x:c r="I111" s="14" t="n">
        <x:v>8</x:v>
      </x:c>
      <x:c r="J111" s="14" t="str">
        <x:v>Bundle/Common</x:v>
      </x:c>
      <x:c r="K111" s="14" t="str">
        <x:v>Inventory</x:v>
      </x:c>
      <x:c r="L111" s="14" t="str"/>
      <x:c r="M111" s="14" t="str"/>
      <x:c r="N111" s="14" t="str"/>
      <x:c r="O111" s="14" t="str"/>
      <x:c r="P111" s="14" t="str">
        <x:f>IF(M111="","",M111-N111-O111-L111)</x:f>
      </x:c>
      <x:c r="Q111" s="13" t="str"/>
      <x:c r="R111" s="13" t="str"/>
      <x:c r="S111" s="13" t="str"/>
      <x:c r="T111" s="13" t="str">
        <x:v>High</x:v>
      </x:c>
    </x:row>
    <x:row r="112">
      <x:c r="A112" s="13" t="str">
        <x:v>Video Game</x:v>
      </x:c>
      <x:c r="B112" s="13" t="str">
        <x:v>PS4</x:v>
      </x:c>
      <x:c r="C112" s="13" t="str">
        <x:v>Noob: The Factionless</x:v>
      </x:c>
      <x:c r="D112" s="13" t="str"/>
      <x:c r="E112" s="14" t="n">
        <x:v>5</x:v>
      </x:c>
      <x:c r="F112" s="14" t="n">
        <x:v>10</x:v>
      </x:c>
      <x:c r="G112" s="14" t="n">
        <x:v>7.5</x:v>
      </x:c>
      <x:c r="H112" s="14" t="n">
        <x:v>3</x:v>
      </x:c>
      <x:c r="I112" s="14" t="n">
        <x:v>8</x:v>
      </x:c>
      <x:c r="J112" s="14" t="str">
        <x:v>Bundle/Common</x:v>
      </x:c>
      <x:c r="K112" s="14" t="str">
        <x:v>Inventory</x:v>
      </x:c>
      <x:c r="L112" s="14" t="str"/>
      <x:c r="M112" s="14" t="str"/>
      <x:c r="N112" s="14" t="str"/>
      <x:c r="O112" s="14" t="str"/>
      <x:c r="P112" s="14" t="str">
        <x:f>IF(M112="","",M112-N112-O112-L112)</x:f>
      </x:c>
      <x:c r="Q112" s="13" t="str"/>
      <x:c r="R112" s="13" t="str"/>
      <x:c r="S112" s="13" t="str"/>
      <x:c r="T112" s="13" t="str">
        <x:v>High</x:v>
      </x:c>
    </x:row>
    <x:row r="113">
      <x:c r="A113" s="13" t="str">
        <x:v>Video Game</x:v>
      </x:c>
      <x:c r="B113" s="13" t="str">
        <x:v>PS4</x:v>
      </x:c>
      <x:c r="C113" s="13" t="str">
        <x:v>The Elder Scrolls Online</x:v>
      </x:c>
      <x:c r="D113" s="13" t="str"/>
      <x:c r="E113" s="14" t="n">
        <x:v>5</x:v>
      </x:c>
      <x:c r="F113" s="14" t="n">
        <x:v>10</x:v>
      </x:c>
      <x:c r="G113" s="14" t="n">
        <x:v>7.5</x:v>
      </x:c>
      <x:c r="H113" s="14" t="n">
        <x:v>3</x:v>
      </x:c>
      <x:c r="I113" s="14" t="n">
        <x:v>8</x:v>
      </x:c>
      <x:c r="J113" s="14" t="str">
        <x:v>Bundle/Common</x:v>
      </x:c>
      <x:c r="K113" s="14" t="str">
        <x:v>Inventory</x:v>
      </x:c>
      <x:c r="L113" s="14" t="str"/>
      <x:c r="M113" s="14" t="str"/>
      <x:c r="N113" s="14" t="str"/>
      <x:c r="O113" s="14" t="str"/>
      <x:c r="P113" s="14" t="str">
        <x:f>IF(M113="","",M113-N113-O113-L113)</x:f>
      </x:c>
      <x:c r="Q113" s="13" t="str"/>
      <x:c r="R113" s="13" t="str"/>
      <x:c r="S113" s="13" t="str"/>
      <x:c r="T113" s="13" t="str">
        <x:v>High</x:v>
      </x:c>
    </x:row>
    <x:row r="114">
      <x:c r="A114" s="13" t="str">
        <x:v>Video Game</x:v>
      </x:c>
      <x:c r="B114" s="13" t="str">
        <x:v>PS4</x:v>
      </x:c>
      <x:c r="C114" s="13" t="str">
        <x:v>Mortal Kombat 11</x:v>
      </x:c>
      <x:c r="D114" s="13" t="str"/>
      <x:c r="E114" s="14" t="n">
        <x:v>10</x:v>
      </x:c>
      <x:c r="F114" s="14" t="n">
        <x:v>15</x:v>
      </x:c>
      <x:c r="G114" s="14" t="n">
        <x:v>12.5</x:v>
      </x:c>
      <x:c r="H114" s="14" t="n">
        <x:v>6</x:v>
      </x:c>
      <x:c r="I114" s="14" t="n">
        <x:v>11</x:v>
      </x:c>
      <x:c r="J114" s="14" t="str">
        <x:v>Worth Listing</x:v>
      </x:c>
      <x:c r="K114" s="14" t="str">
        <x:v>Inventory</x:v>
      </x:c>
      <x:c r="L114" s="14" t="str"/>
      <x:c r="M114" s="14" t="str"/>
      <x:c r="N114" s="14" t="str"/>
      <x:c r="O114" s="14" t="str"/>
      <x:c r="P114" s="14" t="str">
        <x:f>IF(M114="","",M114-N114-O114-L114)</x:f>
      </x:c>
      <x:c r="Q114" s="13" t="str"/>
      <x:c r="R114" s="13" t="str"/>
      <x:c r="S114" s="13" t="str"/>
      <x:c r="T114" s="13" t="str">
        <x:v>High</x:v>
      </x:c>
    </x:row>
    <x:row r="115">
      <x:c r="A115" s="13" t="str">
        <x:v>Video Game</x:v>
      </x:c>
      <x:c r="B115" s="13" t="str">
        <x:v>PS4</x:v>
      </x:c>
      <x:c r="C115" s="13" t="str">
        <x:v>Geometry Wars 3</x:v>
      </x:c>
      <x:c r="D115" s="13" t="str"/>
      <x:c r="E115" s="14" t="n">
        <x:v>10</x:v>
      </x:c>
      <x:c r="F115" s="14" t="n">
        <x:v>15</x:v>
      </x:c>
      <x:c r="G115" s="14" t="n">
        <x:v>12.5</x:v>
      </x:c>
      <x:c r="H115" s="14" t="n">
        <x:v>6</x:v>
      </x:c>
      <x:c r="I115" s="14" t="n">
        <x:v>11</x:v>
      </x:c>
      <x:c r="J115" s="14" t="str">
        <x:v>Worth Listing</x:v>
      </x:c>
      <x:c r="K115" s="14" t="str">
        <x:v>Inventory</x:v>
      </x:c>
      <x:c r="L115" s="14" t="str"/>
      <x:c r="M115" s="14" t="str"/>
      <x:c r="N115" s="14" t="str"/>
      <x:c r="O115" s="14" t="str"/>
      <x:c r="P115" s="14" t="str">
        <x:f>IF(M115="","",M115-N115-O115-L115)</x:f>
      </x:c>
      <x:c r="Q115" s="13" t="str"/>
      <x:c r="R115" s="13" t="str"/>
      <x:c r="S115" s="13" t="str"/>
      <x:c r="T115" s="13" t="str">
        <x:v>High</x:v>
      </x:c>
    </x:row>
    <x:row r="116">
      <x:c r="A116" s="13" t="str">
        <x:v>Video Game</x:v>
      </x:c>
      <x:c r="B116" s="13" t="str">
        <x:v>PS4</x:v>
      </x:c>
      <x:c r="C116" s="13" t="str">
        <x:v>Tom Clancy's Ghost Recon: Wildlands</x:v>
      </x:c>
      <x:c r="D116" s="13" t="str"/>
      <x:c r="E116" s="14" t="n">
        <x:v>10</x:v>
      </x:c>
      <x:c r="F116" s="14" t="n">
        <x:v>15</x:v>
      </x:c>
      <x:c r="G116" s="14" t="n">
        <x:v>12.5</x:v>
      </x:c>
      <x:c r="H116" s="14" t="n">
        <x:v>6</x:v>
      </x:c>
      <x:c r="I116" s="14" t="n">
        <x:v>11</x:v>
      </x:c>
      <x:c r="J116" s="14" t="str">
        <x:v>Worth Listing</x:v>
      </x:c>
      <x:c r="K116" s="14" t="str">
        <x:v>Inventory</x:v>
      </x:c>
      <x:c r="L116" s="14" t="str"/>
      <x:c r="M116" s="14" t="str"/>
      <x:c r="N116" s="14" t="str"/>
      <x:c r="O116" s="14" t="str"/>
      <x:c r="P116" s="14" t="str">
        <x:f>IF(M116="","",M116-N116-O116-L116)</x:f>
      </x:c>
      <x:c r="Q116" s="13" t="str"/>
      <x:c r="R116" s="13" t="str"/>
      <x:c r="S116" s="13" t="str"/>
      <x:c r="T116" s="13" t="str">
        <x:v>High</x:v>
      </x:c>
    </x:row>
    <x:row r="117">
      <x:c r="A117" s="13" t="str">
        <x:v>Video Game</x:v>
      </x:c>
      <x:c r="B117" s="13" t="str">
        <x:v>PS4</x:v>
      </x:c>
      <x:c r="C117" s="13" t="str">
        <x:v>Madden NFL 18</x:v>
      </x:c>
      <x:c r="D117" s="13" t="str"/>
      <x:c r="E117" s="14" t="n">
        <x:v>3</x:v>
      </x:c>
      <x:c r="F117" s="14" t="n">
        <x:v>8</x:v>
      </x:c>
      <x:c r="G117" s="14" t="n">
        <x:v>5.5</x:v>
      </x:c>
      <x:c r="H117" s="14" t="n">
        <x:v>2</x:v>
      </x:c>
      <x:c r="I117" s="14" t="n">
        <x:v>6</x:v>
      </x:c>
      <x:c r="J117" s="14" t="str">
        <x:v>Bundle/Common</x:v>
      </x:c>
      <x:c r="K117" s="14" t="str">
        <x:v>Inventory</x:v>
      </x:c>
      <x:c r="L117" s="14" t="str"/>
      <x:c r="M117" s="14" t="str"/>
      <x:c r="N117" s="14" t="str"/>
      <x:c r="O117" s="14" t="str"/>
      <x:c r="P117" s="14" t="str">
        <x:f>IF(M117="","",M117-N117-O117-L117)</x:f>
      </x:c>
      <x:c r="Q117" s="13" t="str"/>
      <x:c r="R117" s="13" t="str"/>
      <x:c r="S117" s="13" t="str"/>
      <x:c r="T117" s="13" t="str">
        <x:v>High</x:v>
      </x:c>
    </x:row>
    <x:row r="118">
      <x:c r="A118" s="13" t="str">
        <x:v>Video Game</x:v>
      </x:c>
      <x:c r="B118" s="13" t="str">
        <x:v>PS4</x:v>
      </x:c>
      <x:c r="C118" s="13" t="str">
        <x:v>Destiny: The Taken King</x:v>
      </x:c>
      <x:c r="D118" s="13" t="str"/>
      <x:c r="E118" s="14" t="n">
        <x:v>5</x:v>
      </x:c>
      <x:c r="F118" s="14" t="n">
        <x:v>10</x:v>
      </x:c>
      <x:c r="G118" s="14" t="n">
        <x:v>7.5</x:v>
      </x:c>
      <x:c r="H118" s="14" t="n">
        <x:v>3</x:v>
      </x:c>
      <x:c r="I118" s="14" t="n">
        <x:v>8</x:v>
      </x:c>
      <x:c r="J118" s="14" t="str">
        <x:v>Bundle/Common</x:v>
      </x:c>
      <x:c r="K118" s="14" t="str">
        <x:v>Inventory</x:v>
      </x:c>
      <x:c r="L118" s="14" t="str"/>
      <x:c r="M118" s="14" t="str"/>
      <x:c r="N118" s="14" t="str"/>
      <x:c r="O118" s="14" t="str"/>
      <x:c r="P118" s="14" t="str">
        <x:f>IF(M118="","",M118-N118-O118-L118)</x:f>
      </x:c>
      <x:c r="Q118" s="13" t="str"/>
      <x:c r="R118" s="13" t="str"/>
      <x:c r="S118" s="13" t="str"/>
      <x:c r="T118" s="13" t="str">
        <x:v>High</x:v>
      </x:c>
    </x:row>
    <x:row r="119">
      <x:c r="A119" s="13" t="str">
        <x:v>Video Game</x:v>
      </x:c>
      <x:c r="B119" s="13" t="str">
        <x:v>PS4</x:v>
      </x:c>
      <x:c r="C119" s="13" t="str">
        <x:v>Destiny: The Collection</x:v>
      </x:c>
      <x:c r="D119" s="13" t="str"/>
      <x:c r="E119" s="14" t="n">
        <x:v>5</x:v>
      </x:c>
      <x:c r="F119" s="14" t="n">
        <x:v>10</x:v>
      </x:c>
      <x:c r="G119" s="14" t="n">
        <x:v>7.5</x:v>
      </x:c>
      <x:c r="H119" s="14" t="n">
        <x:v>3</x:v>
      </x:c>
      <x:c r="I119" s="14" t="n">
        <x:v>8</x:v>
      </x:c>
      <x:c r="J119" s="14" t="str">
        <x:v>Bundle/Common</x:v>
      </x:c>
      <x:c r="K119" s="14" t="str">
        <x:v>Inventory</x:v>
      </x:c>
      <x:c r="L119" s="14" t="str"/>
      <x:c r="M119" s="14" t="str"/>
      <x:c r="N119" s="14" t="str"/>
      <x:c r="O119" s="14" t="str"/>
      <x:c r="P119" s="14" t="str">
        <x:f>IF(M119="","",M119-N119-O119-L119)</x:f>
      </x:c>
      <x:c r="Q119" s="13" t="str"/>
      <x:c r="R119" s="13" t="str"/>
      <x:c r="S119" s="13" t="str"/>
      <x:c r="T119" s="13" t="str">
        <x:v>High</x:v>
      </x:c>
    </x:row>
    <x:row r="120">
      <x:c r="A120" s="13" t="str">
        <x:v>Video Game</x:v>
      </x:c>
      <x:c r="B120" s="13" t="str">
        <x:v>PS4</x:v>
      </x:c>
      <x:c r="C120" s="13" t="str">
        <x:v>Destiny 2</x:v>
      </x:c>
      <x:c r="D120" s="13" t="str"/>
      <x:c r="E120" s="14" t="n">
        <x:v>2</x:v>
      </x:c>
      <x:c r="F120" s="14" t="n">
        <x:v>5</x:v>
      </x:c>
      <x:c r="G120" s="14" t="n">
        <x:v>3.5</x:v>
      </x:c>
      <x:c r="H120" s="14" t="n">
        <x:v>1</x:v>
      </x:c>
      <x:c r="I120" s="14" t="n">
        <x:v>4</x:v>
      </x:c>
      <x:c r="J120" s="14" t="str">
        <x:v>Bundle/Common</x:v>
      </x:c>
      <x:c r="K120" s="14" t="str">
        <x:v>Inventory</x:v>
      </x:c>
      <x:c r="L120" s="14" t="str"/>
      <x:c r="M120" s="14" t="str"/>
      <x:c r="N120" s="14" t="str"/>
      <x:c r="O120" s="14" t="str"/>
      <x:c r="P120" s="14" t="str">
        <x:f>IF(M120="","",M120-N120-O120-L120)</x:f>
      </x:c>
      <x:c r="Q120" s="13" t="str"/>
      <x:c r="R120" s="13" t="str"/>
      <x:c r="S120" s="13" t="str"/>
      <x:c r="T120" s="13" t="str">
        <x:v>High</x:v>
      </x:c>
    </x:row>
    <x:row r="121">
      <x:c r="A121" s="13" t="str">
        <x:v>Video Game</x:v>
      </x:c>
      <x:c r="B121" s="13" t="str">
        <x:v>PS4</x:v>
      </x:c>
      <x:c r="C121" s="13" t="str">
        <x:v>Overwatch</x:v>
      </x:c>
      <x:c r="D121" s="13" t="str"/>
      <x:c r="E121" s="14" t="n">
        <x:v>2</x:v>
      </x:c>
      <x:c r="F121" s="14" t="n">
        <x:v>8</x:v>
      </x:c>
      <x:c r="G121" s="14" t="n">
        <x:v>5</x:v>
      </x:c>
      <x:c r="H121" s="14" t="n">
        <x:v>1</x:v>
      </x:c>
      <x:c r="I121" s="14" t="n">
        <x:v>6</x:v>
      </x:c>
      <x:c r="J121" s="14" t="str">
        <x:v>Bundle/Common</x:v>
      </x:c>
      <x:c r="K121" s="14" t="str">
        <x:v>Inventory</x:v>
      </x:c>
      <x:c r="L121" s="14" t="str"/>
      <x:c r="M121" s="14" t="str"/>
      <x:c r="N121" s="14" t="str"/>
      <x:c r="O121" s="14" t="str"/>
      <x:c r="P121" s="14" t="str">
        <x:f>IF(M121="","",M121-N121-O121-L121)</x:f>
      </x:c>
      <x:c r="Q121" s="13" t="str"/>
      <x:c r="R121" s="13" t="str"/>
      <x:c r="S121" s="13" t="str"/>
      <x:c r="T121" s="13" t="str">
        <x:v>High</x:v>
      </x:c>
    </x:row>
    <x:row r="122">
      <x:c r="A122" s="13" t="str">
        <x:v>Video Game</x:v>
      </x:c>
      <x:c r="B122" s="13" t="str">
        <x:v>PS4</x:v>
      </x:c>
      <x:c r="C122" s="13" t="str">
        <x:v>Battleborn</x:v>
      </x:c>
      <x:c r="D122" s="13" t="str"/>
      <x:c r="E122" s="14" t="n">
        <x:v>1</x:v>
      </x:c>
      <x:c r="F122" s="14" t="n">
        <x:v>5</x:v>
      </x:c>
      <x:c r="G122" s="14" t="n">
        <x:v>3</x:v>
      </x:c>
      <x:c r="H122" s="14" t="n">
        <x:v>1</x:v>
      </x:c>
      <x:c r="I122" s="14" t="n">
        <x:v>4</x:v>
      </x:c>
      <x:c r="J122" s="14" t="str">
        <x:v>Bundle/Common</x:v>
      </x:c>
      <x:c r="K122" s="14" t="str">
        <x:v>Inventory</x:v>
      </x:c>
      <x:c r="L122" s="14" t="str"/>
      <x:c r="M122" s="14" t="str"/>
      <x:c r="N122" s="14" t="str"/>
      <x:c r="O122" s="14" t="str"/>
      <x:c r="P122" s="14" t="str">
        <x:f>IF(M122="","",M122-N122-O122-L122)</x:f>
      </x:c>
      <x:c r="Q122" s="13" t="str"/>
      <x:c r="R122" s="13" t="str"/>
      <x:c r="S122" s="13" t="str"/>
      <x:c r="T122" s="13" t="str">
        <x:v>High</x:v>
      </x:c>
    </x:row>
    <x:row r="123">
      <x:c r="A123" s="13" t="str">
        <x:v>Video Game</x:v>
      </x:c>
      <x:c r="B123" s="13" t="str">
        <x:v>PS4</x:v>
      </x:c>
      <x:c r="C123" s="13" t="str">
        <x:v>Call of Duty: Advanced Warfare</x:v>
      </x:c>
      <x:c r="D123" s="13" t="str"/>
      <x:c r="E123" s="14" t="n">
        <x:v>5</x:v>
      </x:c>
      <x:c r="F123" s="14" t="n">
        <x:v>10</x:v>
      </x:c>
      <x:c r="G123" s="14" t="n">
        <x:v>7.5</x:v>
      </x:c>
      <x:c r="H123" s="14" t="n">
        <x:v>3</x:v>
      </x:c>
      <x:c r="I123" s="14" t="n">
        <x:v>8</x:v>
      </x:c>
      <x:c r="J123" s="14" t="str">
        <x:v>Bundle/Common</x:v>
      </x:c>
      <x:c r="K123" s="14" t="str">
        <x:v>Inventory</x:v>
      </x:c>
      <x:c r="L123" s="14" t="str"/>
      <x:c r="M123" s="14" t="str"/>
      <x:c r="N123" s="14" t="str"/>
      <x:c r="O123" s="14" t="str"/>
      <x:c r="P123" s="14" t="str">
        <x:f>IF(M123="","",M123-N123-O123-L123)</x:f>
      </x:c>
      <x:c r="Q123" s="13" t="str"/>
      <x:c r="R123" s="13" t="str"/>
      <x:c r="S123" s="13" t="str"/>
      <x:c r="T123" s="13" t="str">
        <x:v>High</x:v>
      </x:c>
    </x:row>
  </x:sheetData>
  <x:conditionalFormatting sqref="J2:J123">
    <x:cfRule type="expression" dxfId="0" priority="1">
      <x:formula>$J2="Flip First"</x:formula>
    </x:cfRule>
    <x:cfRule type="expression" dxfId="1" priority="2">
      <x:formula>$J2="Worth Listing"</x:formula>
    </x:cfRule>
    <x:cfRule type="expression" dxfId="2" priority="3">
      <x:formula>$J2="Bundle/Common"</x:formula>
    </x:cfRule>
  </x:conditionalFormatting>
  <x:conditionalFormatting sqref="T2:T123">
    <x:cfRule type="expression" dxfId="3" priority="4">
      <x:formula>$T2="Low"</x:formula>
    </x:cfRule>
  </x:conditionalFormatting>
  <x:dataValidations count="4">
    <x:dataValidation type="list" sqref="J2:J123">
      <x:formula1>"Flip First,Worth Listing,Bundle/Common"</x:formula1>
    </x:dataValidation>
    <x:dataValidation type="list" sqref="K2:K123">
      <x:formula1>"Inventory,Listed,Sold,Hold,Bundle"</x:formula1>
    </x:dataValidation>
    <x:dataValidation type="list" sqref="Q2:R123">
      <x:formula1>"Y,N"</x:formula1>
    </x:dataValidation>
    <x:dataValidation type="list" sqref="T2:T123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97ebba7cc0437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0" t="str">
        <x:v>FlipTracker Collection Dashboard</x:v>
      </x:c>
    </x:row>
    <x:row r="3">
      <x:c r="A3" s="25" t="str">
        <x:v>Total Games</x:v>
      </x:c>
      <x:c r="B3" s="29" t="n">
        <x:f>COUNTA(Inventory!C2:C123)</x:f>
        <x:v>122</x:v>
      </x:c>
      <x:c r="D3" s="12" t="str">
        <x:v>Console</x:v>
      </x:c>
      <x:c r="E3" s="12" t="str">
        <x:v>Count</x:v>
      </x:c>
      <x:c r="F3" s="12" t="str">
        <x:v>Avg eBay Value</x:v>
      </x:c>
    </x:row>
    <x:row r="4">
      <x:c r="A4" s="25" t="str">
        <x:v>Estimated eBay Avg</x:v>
      </x:c>
      <x:c r="B4" s="32" t="n">
        <x:f>SUM(Inventory!G2:G123)</x:f>
        <x:v>1765.5</x:v>
      </x:c>
      <x:c r="D4" s="13" t="str">
        <x:v>PS1</x:v>
      </x:c>
      <x:c r="E4" s="13" t="n">
        <x:f>COUNTIF(Inventory!B:B,D4)</x:f>
        <x:v>7</x:v>
      </x:c>
      <x:c r="F4" s="40" t="n">
        <x:f>SUMIF(Inventory!B:B,D4,Inventory!G:G)</x:f>
        <x:v>120.5</x:v>
      </x:c>
    </x:row>
    <x:row r="5">
      <x:c r="A5" s="25" t="str">
        <x:v>Estimated Local Low</x:v>
      </x:c>
      <x:c r="B5" s="32" t="n">
        <x:f>SUM(Inventory!H2:H123)</x:f>
        <x:v>815</x:v>
      </x:c>
      <x:c r="D5" s="13" t="str">
        <x:v>PS2</x:v>
      </x:c>
      <x:c r="E5" s="13" t="n">
        <x:f>COUNTIF(Inventory!B:B,D5)</x:f>
        <x:v>5</x:v>
      </x:c>
      <x:c r="F5" s="40" t="n">
        <x:f>SUMIF(Inventory!B:B,D5,Inventory!G:G)</x:f>
        <x:v>56</x:v>
      </x:c>
    </x:row>
    <x:row r="6">
      <x:c r="A6" s="25" t="str">
        <x:v>Estimated Local High</x:v>
      </x:c>
      <x:c r="B6" s="32" t="n">
        <x:f>SUM(Inventory!I2:I123)</x:f>
        <x:v>1704</x:v>
      </x:c>
      <x:c r="D6" s="13" t="str">
        <x:v>PS3</x:v>
      </x:c>
      <x:c r="E6" s="13" t="n">
        <x:f>COUNTIF(Inventory!B:B,D6)</x:f>
        <x:v>40</x:v>
      </x:c>
      <x:c r="F6" s="40" t="n">
        <x:f>SUMIF(Inventory!B:B,D6,Inventory!G:G)</x:f>
        <x:v>561</x:v>
      </x:c>
    </x:row>
    <x:row r="7">
      <x:c r="A7" s="25" t="str">
        <x:v>Flip First Count</x:v>
      </x:c>
      <x:c r="B7" s="29" t="n">
        <x:f>COUNTIF(Inventory!J2:J123,"Flip First")</x:f>
        <x:v>39</x:v>
      </x:c>
      <x:c r="D7" s="13" t="str">
        <x:v>PS4</x:v>
      </x:c>
      <x:c r="E7" s="13" t="n">
        <x:f>COUNTIF(Inventory!B:B,D7)</x:f>
        <x:v>54</x:v>
      </x:c>
      <x:c r="F7" s="40" t="n">
        <x:f>SUMIF(Inventory!B:B,D7,Inventory!G:G)</x:f>
        <x:v>878</x:v>
      </x:c>
    </x:row>
    <x:row r="8">
      <x:c r="A8" s="25" t="str">
        <x:v>Needs Verification</x:v>
      </x:c>
      <x:c r="B8" s="29" t="n">
        <x:f>COUNTIF(Inventory!T2:T123,"&lt;&gt;High")</x:f>
        <x:v>4</x:v>
      </x:c>
      <x:c r="D8" s="13" t="str">
        <x:v>Wii</x:v>
      </x:c>
      <x:c r="E8" s="13" t="n">
        <x:f>COUNTIF(Inventory!B:B,D8)</x:f>
        <x:v>3</x:v>
      </x:c>
      <x:c r="F8" s="40" t="n">
        <x:f>SUMIF(Inventory!B:B,D8,Inventory!G:G)</x:f>
        <x:v>36.5</x:v>
      </x:c>
    </x:row>
    <x:row r="9">
      <x:c r="D9" s="13" t="str">
        <x:v>Xbox 360</x:v>
      </x:c>
      <x:c r="E9" s="13" t="n">
        <x:f>COUNTIF(Inventory!B:B,D9)</x:f>
        <x:v>13</x:v>
      </x:c>
      <x:c r="F9" s="40" t="n">
        <x:f>SUMIF(Inventory!B:B,D9,Inventory!G:G)</x:f>
        <x:v>113.5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5" t="str">
        <x:v>Priority</x:v>
      </x:c>
      <x:c r="B1" s="5" t="str">
        <x:v>Status</x:v>
      </x:c>
      <x:c r="C1" s="5" t="str">
        <x:v>Complete/Manual</x:v>
      </x:c>
      <x:c r="D1" s="5" t="str">
        <x:v>Confidence</x:v>
      </x:c>
    </x:row>
    <x:row r="2">
      <x:c r="A2" t="str">
        <x:v>Flip First</x:v>
      </x:c>
      <x:c r="B2" t="str">
        <x:v>Inventory</x:v>
      </x:c>
      <x:c r="C2" t="str">
        <x:v>Y</x:v>
      </x:c>
      <x:c r="D2" t="str">
        <x:v>High</x:v>
      </x:c>
    </x:row>
    <x:row r="3">
      <x:c r="A3" t="str">
        <x:v>Worth Listing</x:v>
      </x:c>
      <x:c r="B3" t="str">
        <x:v>Listed</x:v>
      </x:c>
      <x:c r="C3" t="str">
        <x:v>N</x:v>
      </x:c>
      <x:c r="D3" t="str">
        <x:v>Medium</x:v>
      </x:c>
    </x:row>
    <x:row r="4">
      <x:c r="A4" t="str">
        <x:v>Bundle/Common</x:v>
      </x:c>
      <x:c r="B4" t="str">
        <x:v>Sold</x:v>
      </x:c>
      <x:c r="D4" t="str">
        <x:v>Low</x:v>
      </x:c>
    </x:row>
    <x:row r="5">
      <x:c r="B5" t="str">
        <x:v>Hold</x:v>
      </x:c>
    </x:row>
    <x:row r="6">
      <x:c r="B6" t="str">
        <x:v>Bundle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25" t="str">
        <x:v>Purpose</x:v>
      </x:c>
      <x:c r="B1" t="str">
        <x:v>This workbook is the seed inventory for the local FlipTracker PWA.</x:v>
      </x:c>
    </x:row>
    <x:row r="2">
      <x:c r="A2" s="25" t="str">
        <x:v>Important</x:v>
      </x:c>
      <x:c r="B2" t="str">
        <x:v>Values are approximate resale ranges based on the visual review and earlier estimates in this conversation, not live eBay lookups.</x:v>
      </x:c>
    </x:row>
    <x:row r="3">
      <x:c r="A3" s="25" t="str">
        <x:v>Verification</x:v>
      </x:c>
      <x:c r="B3" t="str">
        <x:v>Rows with Medium/Low confidence should be checked against the actual case/disc before listing.</x:v>
      </x:c>
    </x:row>
    <x:row r="4">
      <x:c r="A4" s="25" t="str">
        <x:v>Next Step</x:v>
      </x:c>
      <x:c r="B4" t="str">
        <x:v>Import this workbook into the PWA after running it locally.</x:v>
      </x:c>
    </x:row>
  </x:sheetData>
  <x:pageMargins left="0.7" right="0.7" top="0.75" bottom="0.75" header="0.3" footer="0.3"/>
</x:worksheet>
</file>